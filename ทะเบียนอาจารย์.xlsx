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7F8DDB8-1F5D-40FF-8B32-52A2077BE9A5}" xr6:coauthVersionLast="47" xr6:coauthVersionMax="47" xr10:uidLastSave="{00000000-0000-0000-0000-000000000000}"/>
  <bookViews>
    <workbookView xWindow="-110" yWindow="-110" windowWidth="19420" windowHeight="11500" tabRatio="858" firstSheet="8" activeTab="9" xr2:uid="{00000000-000D-0000-FFFF-FFFF00000000}"/>
  </bookViews>
  <sheets>
    <sheet name="แจ้งหมดอายุ (12)" sheetId="5" state="hidden" r:id="rId1"/>
    <sheet name="แจ้งหมดอายุ (1)" sheetId="6" state="hidden" r:id="rId2"/>
    <sheet name="แจ้งหมดอายุ (2)" sheetId="9" state="hidden" r:id="rId3"/>
    <sheet name="แจ้งหมดอายุ (3)" sheetId="10" state="hidden" r:id="rId4"/>
    <sheet name="แจ้งหมดอายุ (4)" sheetId="11" state="hidden" r:id="rId5"/>
    <sheet name="แจ้งหมดอายุ (5)" sheetId="12" state="hidden" r:id="rId6"/>
    <sheet name="แจ้งหมดอายุ (6)" sheetId="13" state="hidden" r:id="rId7"/>
    <sheet name="แจ้งหมดอายุ (7)" sheetId="17" state="hidden" r:id="rId8"/>
    <sheet name="สวัสดิการ" sheetId="55" r:id="rId9"/>
    <sheet name="ฐานรายชื่ออาจารย์" sheetId="56" r:id="rId10"/>
    <sheet name="USER" sheetId="57" r:id="rId11"/>
    <sheet name="ทะเบียนสมาชิก" sheetId="1" state="hidden" r:id="rId12"/>
  </sheets>
  <definedNames>
    <definedName name="_xlnm._FilterDatabase" localSheetId="1" hidden="1">'แจ้งหมดอายุ (1)'!$B$8:$G$54</definedName>
    <definedName name="_xlnm._FilterDatabase" localSheetId="0" hidden="1">'แจ้งหมดอายุ (12)'!$B$8:$G$54</definedName>
    <definedName name="_xlnm._FilterDatabase" localSheetId="2" hidden="1">'แจ้งหมดอายุ (2)'!$B$8:$G$54</definedName>
    <definedName name="_xlnm._FilterDatabase" localSheetId="3" hidden="1">'แจ้งหมดอายุ (3)'!$B$8:$G$54</definedName>
    <definedName name="_xlnm._FilterDatabase" localSheetId="4" hidden="1">'แจ้งหมดอายุ (4)'!$B$8:$G$54</definedName>
    <definedName name="_xlnm._FilterDatabase" localSheetId="5" hidden="1">'แจ้งหมดอายุ (5)'!$B$8:$G$54</definedName>
    <definedName name="_xlnm._FilterDatabase" localSheetId="6" hidden="1">'แจ้งหมดอายุ (6)'!$B$8:$G$54</definedName>
    <definedName name="_xlnm._FilterDatabase" localSheetId="7" hidden="1">'แจ้งหมดอายุ (7)'!$B$8:$G$33</definedName>
    <definedName name="_xlnm._FilterDatabase" localSheetId="11" hidden="1">ทะเบียนสมาชิก!$A$4:$R$253</definedName>
    <definedName name="_xlnm.Print_Area" localSheetId="11">ทะเบียนสมาชิก!$A$2:$H$187</definedName>
    <definedName name="_xlnm.Print_Titles" localSheetId="9">ฐานรายชื่ออาจารย์!$2:$2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0" i="1" l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5" i="1"/>
  <c r="O194" i="1"/>
  <c r="O193" i="1"/>
  <c r="O192" i="1"/>
  <c r="O191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8" i="1"/>
  <c r="O107" i="1"/>
  <c r="O106" i="1"/>
  <c r="O105" i="1"/>
  <c r="O102" i="1"/>
  <c r="O101" i="1"/>
  <c r="O100" i="1"/>
  <c r="O99" i="1"/>
  <c r="O98" i="1"/>
  <c r="O97" i="1"/>
  <c r="O96" i="1"/>
  <c r="O95" i="1"/>
  <c r="O94" i="1"/>
  <c r="O93" i="1"/>
  <c r="O92" i="1"/>
  <c r="O90" i="1"/>
  <c r="O89" i="1"/>
  <c r="O87" i="1"/>
  <c r="O86" i="1"/>
  <c r="O83" i="1"/>
  <c r="O82" i="1"/>
  <c r="O81" i="1"/>
  <c r="O79" i="1"/>
  <c r="O78" i="1"/>
  <c r="O75" i="1"/>
  <c r="O74" i="1"/>
  <c r="O73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6" i="1"/>
  <c r="O34" i="1"/>
  <c r="O32" i="1"/>
  <c r="O31" i="1"/>
  <c r="O29" i="1"/>
  <c r="O28" i="1"/>
  <c r="O26" i="1"/>
  <c r="O25" i="1"/>
  <c r="O24" i="1"/>
  <c r="O23" i="1"/>
  <c r="O22" i="1"/>
  <c r="O21" i="1"/>
  <c r="O19" i="1"/>
  <c r="O18" i="1"/>
  <c r="O17" i="1"/>
  <c r="O15" i="1"/>
  <c r="O13" i="1"/>
  <c r="O12" i="1"/>
  <c r="O10" i="1"/>
  <c r="O8" i="1"/>
  <c r="O5" i="1"/>
  <c r="B26" i="17"/>
  <c r="B24" i="17"/>
  <c r="B22" i="17"/>
  <c r="B20" i="17"/>
  <c r="B18" i="17"/>
  <c r="B10" i="17"/>
  <c r="B11" i="17" s="1"/>
  <c r="B12" i="17" s="1"/>
  <c r="B13" i="17" s="1"/>
  <c r="B14" i="17" s="1"/>
  <c r="B15" i="17" s="1"/>
  <c r="B16" i="17" s="1"/>
  <c r="B24" i="13"/>
  <c r="B22" i="13"/>
  <c r="B20" i="13"/>
  <c r="B18" i="13"/>
  <c r="B10" i="13"/>
  <c r="B11" i="13" s="1"/>
  <c r="B12" i="13" s="1"/>
  <c r="B13" i="13" s="1"/>
  <c r="B14" i="13" s="1"/>
  <c r="B15" i="13" s="1"/>
  <c r="B16" i="13" s="1"/>
  <c r="B10" i="12"/>
  <c r="B11" i="12" s="1"/>
  <c r="B12" i="12" s="1"/>
  <c r="B13" i="12" s="1"/>
  <c r="B14" i="12" s="1"/>
  <c r="B15" i="12" s="1"/>
  <c r="B10" i="11"/>
  <c r="B11" i="11" s="1"/>
  <c r="B12" i="11" s="1"/>
  <c r="B10" i="10"/>
  <c r="B11" i="10" s="1"/>
  <c r="B12" i="10" s="1"/>
  <c r="B13" i="10" s="1"/>
  <c r="B14" i="10" s="1"/>
  <c r="B15" i="10" s="1"/>
  <c r="B16" i="10" s="1"/>
  <c r="B10" i="9"/>
  <c r="B11" i="9" s="1"/>
  <c r="B12" i="9" s="1"/>
  <c r="B13" i="9" s="1"/>
  <c r="B14" i="9" s="1"/>
  <c r="B15" i="9" s="1"/>
  <c r="B16" i="9" s="1"/>
  <c r="B17" i="9" s="1"/>
  <c r="B18" i="9" s="1"/>
  <c r="B10" i="6"/>
  <c r="B11" i="6" s="1"/>
  <c r="B12" i="6" s="1"/>
  <c r="B13" i="6" s="1"/>
  <c r="B14" i="6" s="1"/>
  <c r="B15" i="6" s="1"/>
  <c r="B24" i="5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10" i="5"/>
</calcChain>
</file>

<file path=xl/sharedStrings.xml><?xml version="1.0" encoding="utf-8"?>
<sst xmlns="http://schemas.openxmlformats.org/spreadsheetml/2006/main" count="2286" uniqueCount="1317">
  <si>
    <t>ทะเบียนสมาชิก ชมรม เพื่อน พ.น.</t>
  </si>
  <si>
    <t>ลำดับที่</t>
  </si>
  <si>
    <t>รุ่น</t>
  </si>
  <si>
    <t>ชื่อ - นามสกุล</t>
  </si>
  <si>
    <t xml:space="preserve">ที่อยู่ </t>
  </si>
  <si>
    <t>ชื่อเล่น</t>
  </si>
  <si>
    <t>วันที่สมัคร</t>
  </si>
  <si>
    <t>รหัสไปรษณ๊ย์</t>
  </si>
  <si>
    <t>01083</t>
  </si>
  <si>
    <t>คุณอุเทน รุ่งเช้า</t>
  </si>
  <si>
    <t>5/1/2559</t>
  </si>
  <si>
    <t>099-186-1241</t>
  </si>
  <si>
    <t>รุ่น 3</t>
  </si>
  <si>
    <t>03003</t>
  </si>
  <si>
    <t>คุณมานพ อมรเศรษฐชัย</t>
  </si>
  <si>
    <t>26/1/2559</t>
  </si>
  <si>
    <t>081-812-3111</t>
  </si>
  <si>
    <t>รุ่น 7 บ่าย</t>
  </si>
  <si>
    <t>07001</t>
  </si>
  <si>
    <t>คุณพัชนี ดำรงพิทักษ์กุล</t>
  </si>
  <si>
    <t>28/1/2559</t>
  </si>
  <si>
    <t>081-912-6892</t>
  </si>
  <si>
    <t>02004</t>
  </si>
  <si>
    <t>คุณอุไรวรรณ สุทธิลักษณวนิช</t>
  </si>
  <si>
    <t>086-503-3413</t>
  </si>
  <si>
    <t>คุณนัทธีรา กิตติวังชัย</t>
  </si>
  <si>
    <t>29/1/2559</t>
  </si>
  <si>
    <t>081-647-2720</t>
  </si>
  <si>
    <t>รุ่น 7</t>
  </si>
  <si>
    <t>07002</t>
  </si>
  <si>
    <t>คุณจุไรรัศมี ศรีเพ็ญ</t>
  </si>
  <si>
    <t>จุ</t>
  </si>
  <si>
    <t>081-335-0329</t>
  </si>
  <si>
    <t>รุ่น 4</t>
  </si>
  <si>
    <t>04001</t>
  </si>
  <si>
    <t xml:space="preserve">คุณธีรพงษ์ ฟูตระกูล </t>
  </si>
  <si>
    <t>31/1/2561</t>
  </si>
  <si>
    <t>081-813-6469</t>
  </si>
  <si>
    <t>รุ่น 12</t>
  </si>
  <si>
    <t xml:space="preserve">คุณสมพร จิรธนาศักดิ์ </t>
  </si>
  <si>
    <t>01122</t>
  </si>
  <si>
    <t>คุณลัดดา จินตามฤทธิ</t>
  </si>
  <si>
    <t>29/1/2562</t>
  </si>
  <si>
    <t>รุ่น 5</t>
  </si>
  <si>
    <t>05001</t>
  </si>
  <si>
    <t>คุณนงนุช นูพิมพ์</t>
  </si>
  <si>
    <t>1/2/2559</t>
  </si>
  <si>
    <t>07004</t>
  </si>
  <si>
    <t>คุณกัญญา สุทธมนัสวงษ์</t>
  </si>
  <si>
    <t>ใหญ่</t>
  </si>
  <si>
    <t>081-817-7880</t>
  </si>
  <si>
    <t>รุ่น 9</t>
  </si>
  <si>
    <t>09001</t>
  </si>
  <si>
    <t>คุณวีระเนศวร์ ศรีวัฒนวนชัย</t>
  </si>
  <si>
    <t>8/2/2559</t>
  </si>
  <si>
    <t>099-220-6456</t>
  </si>
  <si>
    <t>01085</t>
  </si>
  <si>
    <t>คุณรัชนี ตปะนียะกุล</t>
  </si>
  <si>
    <t>9/2/2559</t>
  </si>
  <si>
    <t>065-994-9915</t>
  </si>
  <si>
    <t>รุ่น 2</t>
  </si>
  <si>
    <t>02011</t>
  </si>
  <si>
    <t>คุณกมล จิววุฒิพงค์</t>
  </si>
  <si>
    <t>20/2/2559</t>
  </si>
  <si>
    <t>081-865-2174</t>
  </si>
  <si>
    <t>02015</t>
  </si>
  <si>
    <t>คุณบัณฑิต เสงี่ยมสิน</t>
  </si>
  <si>
    <t>26/2/2559</t>
  </si>
  <si>
    <t>081-170-9102</t>
  </si>
  <si>
    <t>01086</t>
  </si>
  <si>
    <t>คุณปริญญา จุลสุคนธ์</t>
  </si>
  <si>
    <t>29/2/2559</t>
  </si>
  <si>
    <t>081-454-9100</t>
  </si>
  <si>
    <t>01087</t>
  </si>
  <si>
    <t>คุณไพศาล จิตไพศาลสุข</t>
  </si>
  <si>
    <t>081-495-6904</t>
  </si>
  <si>
    <t>01088</t>
  </si>
  <si>
    <t>คุณฉันทกร รุจศรีสาคร</t>
  </si>
  <si>
    <t>081-816-1654</t>
  </si>
  <si>
    <t>01089</t>
  </si>
  <si>
    <t>คุณพรยศ</t>
  </si>
  <si>
    <t>5/3/2559</t>
  </si>
  <si>
    <t>03007</t>
  </si>
  <si>
    <t>คุณวิชัย เมฆรังมินต์</t>
  </si>
  <si>
    <t>9/3/2559</t>
  </si>
  <si>
    <t>089-0242505</t>
  </si>
  <si>
    <t>03008</t>
  </si>
  <si>
    <t>คุณณภาพร  อมรเศรษฐชัย</t>
  </si>
  <si>
    <t>13/3/2559</t>
  </si>
  <si>
    <t>084-018-8831</t>
  </si>
  <si>
    <t>01090</t>
  </si>
  <si>
    <t>คุณลัดดา อัครวราวงศ์</t>
  </si>
  <si>
    <t>089-199-9014</t>
  </si>
  <si>
    <t>05005</t>
  </si>
  <si>
    <t>คุณสุวรีย์ เราประจงดังไพศาล</t>
  </si>
  <si>
    <t>086-344-9648</t>
  </si>
  <si>
    <t>01108</t>
  </si>
  <si>
    <t>คุณสุเทพ  ศิริพิทยาคุณกิจ</t>
  </si>
  <si>
    <t>2/3/2560</t>
  </si>
  <si>
    <t>095-542-5914</t>
  </si>
  <si>
    <t>089-754-5799</t>
  </si>
  <si>
    <t>รุ่น 13</t>
  </si>
  <si>
    <t>13011</t>
  </si>
  <si>
    <t>คุณฉวีวรรณ สุริหาร</t>
  </si>
  <si>
    <t>7/3/2564</t>
  </si>
  <si>
    <t>081-5514642</t>
  </si>
  <si>
    <t>01134</t>
  </si>
  <si>
    <t>คุณสมชาย นาทะพันธ์</t>
  </si>
  <si>
    <t>11/3/2564</t>
  </si>
  <si>
    <t>081-941-6749</t>
  </si>
  <si>
    <t xml:space="preserve">รุ่น 5 </t>
  </si>
  <si>
    <t>05006</t>
  </si>
  <si>
    <t xml:space="preserve">คุณไพรัตน์  ศรีทา </t>
  </si>
  <si>
    <t>5/4/2559</t>
  </si>
  <si>
    <t>091-078-0955</t>
  </si>
  <si>
    <t>คุณสุรีย์ เหลืองศรีอำพร</t>
  </si>
  <si>
    <t>089-441-9274</t>
  </si>
  <si>
    <t>01093</t>
  </si>
  <si>
    <t>คุณสุรลักษณ์ ปิยะทัต</t>
  </si>
  <si>
    <t>25/4/2559</t>
  </si>
  <si>
    <t>080-595-0828</t>
  </si>
  <si>
    <t>01094</t>
  </si>
  <si>
    <t>คุณทัศนีย์ ศรีทองเย็น</t>
  </si>
  <si>
    <t>081-499-2754</t>
  </si>
  <si>
    <t>รุ่น 28</t>
  </si>
  <si>
    <t>28001</t>
  </si>
  <si>
    <t xml:space="preserve">คุณเอก ศิละคุณาภรณ์ </t>
  </si>
  <si>
    <t>30/4/2562</t>
  </si>
  <si>
    <t>18/5/2559</t>
  </si>
  <si>
    <t>415-205-4885</t>
  </si>
  <si>
    <t>01096</t>
  </si>
  <si>
    <t xml:space="preserve">คุณสุดารัตน์  อรรถวุฒินันท์ </t>
  </si>
  <si>
    <t>086-513-4352</t>
  </si>
  <si>
    <t>01097</t>
  </si>
  <si>
    <t>คุณศิริวรรณ บาลนคร</t>
  </si>
  <si>
    <t>19/5/2559</t>
  </si>
  <si>
    <t>083-718-1616</t>
  </si>
  <si>
    <t>รุ่น 6</t>
  </si>
  <si>
    <t>06006</t>
  </si>
  <si>
    <t>ทนายวิโรจน์ อัศวเสมาชัย</t>
  </si>
  <si>
    <t>20/5/2559</t>
  </si>
  <si>
    <t>081-860-7023</t>
  </si>
  <si>
    <t>06007</t>
  </si>
  <si>
    <t>คุณรัศมี อัศวเสมาชัย</t>
  </si>
  <si>
    <t>081-927-3021</t>
  </si>
  <si>
    <t>01100</t>
  </si>
  <si>
    <t>คุณนิตยา  เหล่าศิริลือชาไกล</t>
  </si>
  <si>
    <t>23/5/2559</t>
  </si>
  <si>
    <t>081-580-7888</t>
  </si>
  <si>
    <t>04003</t>
  </si>
  <si>
    <t>คุณธีรรัตน์ ดิฏฐโชติ</t>
  </si>
  <si>
    <t>086-4907799</t>
  </si>
  <si>
    <t>01135</t>
  </si>
  <si>
    <t>คุณเนาวรัตน์ รัศมีสุขานนท์</t>
  </si>
  <si>
    <t>093-965-2355</t>
  </si>
  <si>
    <t>01001</t>
  </si>
  <si>
    <t>คุณจินดารัตน์  ทัตอุปริตโถ</t>
  </si>
  <si>
    <t>21/6/2558</t>
  </si>
  <si>
    <t>091-826-4294</t>
  </si>
  <si>
    <t>01004</t>
  </si>
  <si>
    <t xml:space="preserve">คุณชัยวัฒน์ ปิยะทัต </t>
  </si>
  <si>
    <t>081-808-9087</t>
  </si>
  <si>
    <t>01006</t>
  </si>
  <si>
    <t>คุณเชาวนี แพร่ภัทร</t>
  </si>
  <si>
    <t>01008</t>
  </si>
  <si>
    <t>คุณมงคล หงษ์ยนต์</t>
  </si>
  <si>
    <t>หมง</t>
  </si>
  <si>
    <t>089-205-9678</t>
  </si>
  <si>
    <t>01009</t>
  </si>
  <si>
    <t>คุณมาลี คี</t>
  </si>
  <si>
    <t>089-188-0355</t>
  </si>
  <si>
    <t>01010</t>
  </si>
  <si>
    <t>คุณสมนึก เวณุภูติ</t>
  </si>
  <si>
    <t>086-560-5252</t>
  </si>
  <si>
    <t>01011</t>
  </si>
  <si>
    <t xml:space="preserve">คุณสุกัญญา จิรอลงกรณ์ </t>
  </si>
  <si>
    <t>หน่อย</t>
  </si>
  <si>
    <t>086-399-2090</t>
  </si>
  <si>
    <t>01013</t>
  </si>
  <si>
    <t xml:space="preserve">คุณสุวรรณา ศิริเวชวราวุธ </t>
  </si>
  <si>
    <t>อี้ด</t>
  </si>
  <si>
    <t>082-839-9911</t>
  </si>
  <si>
    <t>01014</t>
  </si>
  <si>
    <t>คุณโสภิต เจียรกุลประเสริฐ</t>
  </si>
  <si>
    <t>ชิ้น</t>
  </si>
  <si>
    <t>086-099-9917</t>
  </si>
  <si>
    <t>01015</t>
  </si>
  <si>
    <t>คุณไอริน เจียมวิทยานุกูล</t>
  </si>
  <si>
    <t>085-871-8490</t>
  </si>
  <si>
    <t>01017</t>
  </si>
  <si>
    <t>คุณภาสีนี บุญชยาอนันต์</t>
  </si>
  <si>
    <t>แป้น</t>
  </si>
  <si>
    <t>089-049-1875</t>
  </si>
  <si>
    <t>01018</t>
  </si>
  <si>
    <t>คุณนิภาพร พิมพ์พรรณชาติ</t>
  </si>
  <si>
    <t>089-127-1417</t>
  </si>
  <si>
    <t>01019</t>
  </si>
  <si>
    <t>คุณนงเยาว์ อินทรปรางค์</t>
  </si>
  <si>
    <t>กุ้ง</t>
  </si>
  <si>
    <t>086-308-2294</t>
  </si>
  <si>
    <t>01020</t>
  </si>
  <si>
    <t>คุณต่อศักดิ์ ปุงคานนท์</t>
  </si>
  <si>
    <t>081-625-2360</t>
  </si>
  <si>
    <t>01021</t>
  </si>
  <si>
    <t>คุณวินัย วริยกรอบชัย</t>
  </si>
  <si>
    <t>ฮวก</t>
  </si>
  <si>
    <t>089-763-0602</t>
  </si>
  <si>
    <t>01024</t>
  </si>
  <si>
    <t>คุณปรีชา ศิรประภาเดโช</t>
  </si>
  <si>
    <t>30/6/2558</t>
  </si>
  <si>
    <t>084-465-4925</t>
  </si>
  <si>
    <t>01124</t>
  </si>
  <si>
    <t>คุณมนต์ศักดิ์ เชื่อมวงศ์</t>
  </si>
  <si>
    <t>24/6/2563</t>
  </si>
  <si>
    <t>011-6267124064</t>
  </si>
  <si>
    <t>รุ่น 14</t>
  </si>
  <si>
    <t>14010</t>
  </si>
  <si>
    <t>คุณธนพร สายสุวรรณ</t>
  </si>
  <si>
    <t>6/6/2564</t>
  </si>
  <si>
    <t>25001</t>
  </si>
  <si>
    <t>คุณดวิษ พงษ์ทองหล่อ</t>
  </si>
  <si>
    <t>7/6/2564</t>
  </si>
  <si>
    <t>090-965-5199</t>
  </si>
  <si>
    <t>คุณธานินทร์ ก้องกฤษณะกุล</t>
  </si>
  <si>
    <t>094-337-1069</t>
  </si>
  <si>
    <t>คุณมนต์สฤษฎ์ วิริยะพงษ์</t>
  </si>
  <si>
    <t>คุณนวลจันทร์ เอมแย้ม</t>
  </si>
  <si>
    <t>081-892-5299</t>
  </si>
  <si>
    <t>063-639-9569</t>
  </si>
  <si>
    <t>คุณรพีพัชร์ แสงโรจน์เพิ่มสุข</t>
  </si>
  <si>
    <t>คุณสุชาติ ทิพย์พิมล</t>
  </si>
  <si>
    <t>081-893-4602</t>
  </si>
  <si>
    <t>คุณเพ็ญศรี สอนคำ</t>
  </si>
  <si>
    <t>089-482-1122</t>
  </si>
  <si>
    <t>01041</t>
  </si>
  <si>
    <t xml:space="preserve">คุณสุมาลี ศักดิ์จิรพาพงษ์  </t>
  </si>
  <si>
    <t>19/7/2558</t>
  </si>
  <si>
    <t>080-925-3663</t>
  </si>
  <si>
    <t>คุณชาลินี เหมะรักษ์</t>
  </si>
  <si>
    <t>087-476-9101</t>
  </si>
  <si>
    <t>คุณวไลวรรณ จิตต์สุวรรณ</t>
  </si>
  <si>
    <t>081-880-4723</t>
  </si>
  <si>
    <t>คุณจินตนา เร่มงคล</t>
  </si>
  <si>
    <t>แอ๊ด</t>
  </si>
  <si>
    <t>081-340-2493</t>
  </si>
  <si>
    <t>อ้อย ปากน้ำ</t>
  </si>
  <si>
    <t>089-796-5359</t>
  </si>
  <si>
    <t>เขียว ชุมพร</t>
  </si>
  <si>
    <t>081-907-8278</t>
  </si>
  <si>
    <t>โก๋ ปากน้ำ</t>
  </si>
  <si>
    <t>081-938-5811</t>
  </si>
  <si>
    <t>อ๊อด สระบุรี</t>
  </si>
  <si>
    <t>092-674-8338</t>
  </si>
  <si>
    <t>ตา</t>
  </si>
  <si>
    <t>080-061-0690</t>
  </si>
  <si>
    <t>คุณจิตราตรี ชรรินชัย</t>
  </si>
  <si>
    <t>081-795-3056</t>
  </si>
  <si>
    <t>คุณพจนา จันทร์แสงศรี</t>
  </si>
  <si>
    <t>081-903-1943</t>
  </si>
  <si>
    <t>หมู</t>
  </si>
  <si>
    <t>065-0525559</t>
  </si>
  <si>
    <t>01103</t>
  </si>
  <si>
    <t>คุณภิญโญ น่วมเจิม</t>
  </si>
  <si>
    <t>12/7/2559</t>
  </si>
  <si>
    <t>081-724-4601</t>
  </si>
  <si>
    <t>096-392-9224</t>
  </si>
  <si>
    <t>คุณสุพัฒน์ รุ่งเริงสุข</t>
  </si>
  <si>
    <t>081-828-4451</t>
  </si>
  <si>
    <t>คุณศิริลักษณ์ สูตะบุตร</t>
  </si>
  <si>
    <t>081-566-1195</t>
  </si>
  <si>
    <t xml:space="preserve">คุณเกษณา เนตรวารี </t>
  </si>
  <si>
    <t xml:space="preserve">คุณศุภสิทธิ์ ธีระตระกูลชัย </t>
  </si>
  <si>
    <t>คุณสมพร เทียนกระจ่าง</t>
  </si>
  <si>
    <t>081-371-5509</t>
  </si>
  <si>
    <t>มะ</t>
  </si>
  <si>
    <t>094-925-3332</t>
  </si>
  <si>
    <t>คุณกิตติ ธนานุภาพไพศาล</t>
  </si>
  <si>
    <t xml:space="preserve">คุณยุพิณ โชติเลอศักดิ์ </t>
  </si>
  <si>
    <t>094-925-5529</t>
  </si>
  <si>
    <t>086-010-8181</t>
  </si>
  <si>
    <t>คุณลักษณา ลาภสมบุญกมล</t>
  </si>
  <si>
    <t>086-568-2634</t>
  </si>
  <si>
    <t>081-552-5125</t>
  </si>
  <si>
    <t>คุณสุกัลยา ไชยแก้ว</t>
  </si>
  <si>
    <t>คุณวิทยา ตุลยนิติกุล</t>
  </si>
  <si>
    <t>081-807-9417</t>
  </si>
  <si>
    <t>081-408-0635</t>
  </si>
  <si>
    <t>ตี๋</t>
  </si>
  <si>
    <t>089-895-3821</t>
  </si>
  <si>
    <t>คุณอัจฉรา รงคะอำพันธุ์</t>
  </si>
  <si>
    <t>อัช</t>
  </si>
  <si>
    <t>086-478-8184</t>
  </si>
  <si>
    <t>คุณปิยะนาถ หวังภักดี</t>
  </si>
  <si>
    <t>รุ่น 10</t>
  </si>
  <si>
    <t xml:space="preserve">คุณพิริยา นิมิตรนิวัฒน์ </t>
  </si>
  <si>
    <t>085-403-3355</t>
  </si>
  <si>
    <t>รุ่น 13 ตลาด</t>
  </si>
  <si>
    <t xml:space="preserve">คุณบุญเลิศ นึกกรัมย์ </t>
  </si>
  <si>
    <t>086-006-7174</t>
  </si>
  <si>
    <t>081-6160393</t>
  </si>
  <si>
    <t>คุณทนง สมบัติพานิช</t>
  </si>
  <si>
    <t>084-918-6693</t>
  </si>
  <si>
    <t>081-838 0694</t>
  </si>
  <si>
    <t>รุ่น 16</t>
  </si>
  <si>
    <t>คุณณัชชา  กล่อมจิตร์</t>
  </si>
  <si>
    <t>คุณอรพินทร์ โรจนแพทย์</t>
  </si>
  <si>
    <t>คุณภาณุ เอื้อวิทยา</t>
  </si>
  <si>
    <t>คุณวิรัตน์ หวังศิริสมบัติ</t>
  </si>
  <si>
    <t>คุณมาลินี กัณวเศรษฐ</t>
  </si>
  <si>
    <t xml:space="preserve">คุณทองใบ จัตุลี้ </t>
  </si>
  <si>
    <t>081-946-4182</t>
  </si>
  <si>
    <t>รุ่น 19</t>
  </si>
  <si>
    <t>19002</t>
  </si>
  <si>
    <t>คุณฐานิสร์พงศ์ ศุภธนานันท์</t>
  </si>
  <si>
    <t>28/10/2559</t>
  </si>
  <si>
    <t>089-894-7547</t>
  </si>
  <si>
    <t>คุณพรศิริ เดิมเกียรติสุข</t>
  </si>
  <si>
    <t xml:space="preserve">ดร. คมสัน เหล่าศิลปเจริญ </t>
  </si>
  <si>
    <t>089-442-2224</t>
  </si>
  <si>
    <t>คุณธิดา ทองฉ่ำ</t>
  </si>
  <si>
    <t>089-790-0536</t>
  </si>
  <si>
    <t>คุณสัญญา หอมพันธุ๋</t>
  </si>
  <si>
    <t>คุณโกมล ศรีบางพลีน้อย</t>
  </si>
  <si>
    <t>รุ่น 11</t>
  </si>
  <si>
    <t>รุ่น 18</t>
  </si>
  <si>
    <t>คุณพรศรีทรัพย์ พัชระธะนะสุวรรณ</t>
  </si>
  <si>
    <t>095-949-7956</t>
  </si>
  <si>
    <t>คุณพิพัฒน์ โพธิ์ศรี</t>
  </si>
  <si>
    <t>คุณณัฎฐ์ธนัน โสภณวุฒิไกร</t>
  </si>
  <si>
    <t>085-459-5195</t>
  </si>
  <si>
    <t>คุณประมุก หุ่นสุวรรณ</t>
  </si>
  <si>
    <t>089-936-2124</t>
  </si>
  <si>
    <t>07008</t>
  </si>
  <si>
    <t>คุณวรพนิจ ลิ้มสกุล</t>
  </si>
  <si>
    <t>11/2/2559</t>
  </si>
  <si>
    <t>092-2615821</t>
  </si>
  <si>
    <t>รุ่น 8</t>
  </si>
  <si>
    <t>08002</t>
  </si>
  <si>
    <t>คุณพรวฤณ ณฐารมย์</t>
  </si>
  <si>
    <t>6/3/2559</t>
  </si>
  <si>
    <t>092-543-4447</t>
  </si>
  <si>
    <t>081-7920209</t>
  </si>
  <si>
    <t xml:space="preserve">คุณสมทรง วงศ์วัชรินทร์ </t>
  </si>
  <si>
    <t>082 579-8153</t>
  </si>
  <si>
    <t>รุ่น 2 ฝรั่งเศส</t>
  </si>
  <si>
    <t>คุณชลิต หุตางกูร</t>
  </si>
  <si>
    <t>086-056-6565</t>
  </si>
  <si>
    <t>รุ่น 7 บัญชี</t>
  </si>
  <si>
    <t>082-782-7016</t>
  </si>
  <si>
    <t>คุณศักดิ์ชัย ปัญจะพรกุล</t>
  </si>
  <si>
    <t>คุณเกษร วรสานร์</t>
  </si>
  <si>
    <t>082-633-7094</t>
  </si>
  <si>
    <t>คุณยาใจ ไพรัศมีพูลกุล</t>
  </si>
  <si>
    <t>081-701-5311</t>
  </si>
  <si>
    <t>คุณวัชรี ศาสนานนท์</t>
  </si>
  <si>
    <t>087-908-6690</t>
  </si>
  <si>
    <t>082-642-6611</t>
  </si>
  <si>
    <t>ปวส.8</t>
  </si>
  <si>
    <t>คุณสุริยันต์ บุตรศรี</t>
  </si>
  <si>
    <t>089-681-9010</t>
  </si>
  <si>
    <t xml:space="preserve">คุณมนตรี กิติโกญจนาท </t>
  </si>
  <si>
    <t>097-084-3377</t>
  </si>
  <si>
    <t xml:space="preserve">คุณปนัดดา สิริวุฒิ </t>
  </si>
  <si>
    <t>089-113-1039</t>
  </si>
  <si>
    <t>คุณปรีดารัชต์ วงศ์กระจ่าง</t>
  </si>
  <si>
    <t>095-597-871</t>
  </si>
  <si>
    <t>09004</t>
  </si>
  <si>
    <t>คุณศรีพัฒน์ สุขอารีย์</t>
  </si>
  <si>
    <t>14/12/2561</t>
  </si>
  <si>
    <t>091-451-7285</t>
  </si>
  <si>
    <t>14009</t>
  </si>
  <si>
    <t>คุณปรีชาพล หงษ์ทอง</t>
  </si>
  <si>
    <t>9/12/2563</t>
  </si>
  <si>
    <t>092-939-7952</t>
  </si>
  <si>
    <t>คุณจิว จิรอลงกรณ์</t>
  </si>
  <si>
    <t>เสียชีวิต</t>
  </si>
  <si>
    <t>081-854-9019</t>
  </si>
  <si>
    <t>คุณชรินทร์ แซ่เอ็ง</t>
  </si>
  <si>
    <t>086-446-6035</t>
  </si>
  <si>
    <t>คุณศิริพงษ์ วิชัย</t>
  </si>
  <si>
    <t>คุณจันทร ศิริธางกุล</t>
  </si>
  <si>
    <t>094-3055-665</t>
  </si>
  <si>
    <t>เล็ก</t>
  </si>
  <si>
    <t>094-606-8695</t>
  </si>
  <si>
    <t>คุณเบญจวรรณ บริบูรณ์</t>
  </si>
  <si>
    <t>089-523-5391</t>
  </si>
  <si>
    <t>ต๋อย</t>
  </si>
  <si>
    <t>089-788-2333</t>
  </si>
  <si>
    <t>099-015-2114</t>
  </si>
  <si>
    <t xml:space="preserve">คุณอนุชิต วาณิชย์เสริมกุล </t>
  </si>
  <si>
    <t>081-733-6838</t>
  </si>
  <si>
    <t>รุ่น 21 บัญชี</t>
  </si>
  <si>
    <t>คุณกิตติพัฒน์ สัมมาพาณิชกุล</t>
  </si>
  <si>
    <t>086-176-0522</t>
  </si>
  <si>
    <t>คุณสมพงศ์ นันทไพบูลย์</t>
  </si>
  <si>
    <t>061-629-6950</t>
  </si>
  <si>
    <t>คุณเกรียงศักดิ์ โตยิ่งไพบูลย์</t>
  </si>
  <si>
    <t>คุณชัยอนันต์ อารยะพิดิษฐ์</t>
  </si>
  <si>
    <t xml:space="preserve">คุณไพโรจน์ ใจจริงจิตร </t>
  </si>
  <si>
    <t>เหลียง</t>
  </si>
  <si>
    <t>081-256-1716</t>
  </si>
  <si>
    <t>คุนสุนทร ปลึ้มมนู</t>
  </si>
  <si>
    <t>094-552-0995</t>
  </si>
  <si>
    <t>คุณอาภรณ์ ฟักศิริ</t>
  </si>
  <si>
    <t>091-495-6411</t>
  </si>
  <si>
    <t>คุณมุกดา สุขเกษม</t>
  </si>
  <si>
    <t>คุณสุรพล ศรีสรรค์ศักด์</t>
  </si>
  <si>
    <t>คุณประพันธ์ ขุนหอม</t>
  </si>
  <si>
    <t>086-633-4849</t>
  </si>
  <si>
    <t>คุณมาลินี โอสถศิลป์</t>
  </si>
  <si>
    <t>คุณนภัสนันท์ ศรีวงษ์</t>
  </si>
  <si>
    <t>น๊อต</t>
  </si>
  <si>
    <t>081-8351210</t>
  </si>
  <si>
    <t>คุณเบญจวรรณ ผลดีนานา</t>
  </si>
  <si>
    <t>คุณรัตนาภรณ์ รัตนมาลี</t>
  </si>
  <si>
    <t>089-108-5784</t>
  </si>
  <si>
    <t>คุณเจนจิตต์ พานทอง</t>
  </si>
  <si>
    <t>081-805-3539</t>
  </si>
  <si>
    <t>คุณชวนชม ปริญญาณัฎฐ์</t>
  </si>
  <si>
    <t>085-053-4486</t>
  </si>
  <si>
    <t>คุณรุ่งนภา อินทรเสน</t>
  </si>
  <si>
    <t>คุณอรุณี กุลวนัชชภรณ์</t>
  </si>
  <si>
    <t>คุณนัยนา กัญมาศ</t>
  </si>
  <si>
    <t xml:space="preserve">คุณธนาวรรณ พัชรพงษ์พันธ์ </t>
  </si>
  <si>
    <t>ต้อย</t>
  </si>
  <si>
    <t>090-401-3737</t>
  </si>
  <si>
    <t>คุณพงษ์เทพ สุทธานันต์</t>
  </si>
  <si>
    <t>083-887-8838</t>
  </si>
  <si>
    <t>คุณดิศพงศ์ รุ้งธนาลาภ</t>
  </si>
  <si>
    <t>คุณวินัย สุขมาก</t>
  </si>
  <si>
    <t>จงกลนี</t>
  </si>
  <si>
    <t>เก๊</t>
  </si>
  <si>
    <t>081-4837358</t>
  </si>
  <si>
    <t>แตน</t>
  </si>
  <si>
    <t>092-424-1464</t>
  </si>
  <si>
    <t xml:space="preserve">คุณสมเดช ลิมป์ปิฎกบุญ </t>
  </si>
  <si>
    <t>085-142-1815</t>
  </si>
  <si>
    <t>092-329-4442</t>
  </si>
  <si>
    <t>คุณพรประสิทธิ์ อ่อนน้อมดี</t>
  </si>
  <si>
    <t>081-526-8244</t>
  </si>
  <si>
    <t>2 จีน บ่าย</t>
  </si>
  <si>
    <t>คุณนิตยา เจริญสุข</t>
  </si>
  <si>
    <t>3 จีน บ่าย</t>
  </si>
  <si>
    <t>คุณสุณีย์ ยอดบริบูรณ์</t>
  </si>
  <si>
    <t>คุณสมศักดิ์ จงสุตกวีวงศ์</t>
  </si>
  <si>
    <t>086-548-6538</t>
  </si>
  <si>
    <t xml:space="preserve">คุณศิริกุล ยุทธบรรดล </t>
  </si>
  <si>
    <t>081-842-5839</t>
  </si>
  <si>
    <t>3 จีน เช้า</t>
  </si>
  <si>
    <t xml:space="preserve">คุณธนาวดี ดุลย์โกวิท </t>
  </si>
  <si>
    <t>12 บ่าย</t>
  </si>
  <si>
    <t>คุณมาโนช จุลสุคนธ์</t>
  </si>
  <si>
    <t>083-355-1221</t>
  </si>
  <si>
    <t>081-442-5044</t>
  </si>
  <si>
    <t>คุณจตุพร หาญวรวงค์</t>
  </si>
  <si>
    <t>091-740-6597</t>
  </si>
  <si>
    <t>คุณนิจ อุฬารกุล</t>
  </si>
  <si>
    <t>คุณพิเชษฐ์ ชัยศิริวิเชียร</t>
  </si>
  <si>
    <t>081-620-5578</t>
  </si>
  <si>
    <t>คุณนิวิษฐ์ เส้นเศษ</t>
  </si>
  <si>
    <t>081-685-5985</t>
  </si>
  <si>
    <t xml:space="preserve">คุณกัญจณาพรรษ์  งามธนาวัฒน์ </t>
  </si>
  <si>
    <t>086-378-4239</t>
  </si>
  <si>
    <t xml:space="preserve">รุ่น 6 บัญชี </t>
  </si>
  <si>
    <t>คุณสงวน เทียมมีเชาว์</t>
  </si>
  <si>
    <t>089-955-3251</t>
  </si>
  <si>
    <t>คุณจำเป็น จิตร์หมื่นไวย์</t>
  </si>
  <si>
    <t>081-801-3254</t>
  </si>
  <si>
    <t>คุณโสสุพร พรหมศาสตร์</t>
  </si>
  <si>
    <t>081-751-9428</t>
  </si>
  <si>
    <t>คุณสุรสิทธิ์ ฐิติกุลบดี</t>
  </si>
  <si>
    <t>089-682-9171</t>
  </si>
  <si>
    <t>คุณปิยะวรรณ ชลวีระวงศ์</t>
  </si>
  <si>
    <t>081-889-316</t>
  </si>
  <si>
    <t xml:space="preserve">คุณวลัยลักษณ์ โฟลเคเมอร์ </t>
  </si>
  <si>
    <t>คุณทวี ลาภวิไล</t>
  </si>
  <si>
    <t>คุณสัมพันธ์ เจริญไกรศรี</t>
  </si>
  <si>
    <t>089-920-5915</t>
  </si>
  <si>
    <t>คุณสุภา ยงศ์พีระกุล</t>
  </si>
  <si>
    <t>คุณนิตยาพร เสมอพันธ์</t>
  </si>
  <si>
    <t>081-330-4192</t>
  </si>
  <si>
    <t>คุณเพชรลดา รูส</t>
  </si>
  <si>
    <t>092-575-5555</t>
  </si>
  <si>
    <t>คุณพิศิษฐ์ ลีลาวชิโรภาส</t>
  </si>
  <si>
    <t>081-753-7821</t>
  </si>
  <si>
    <t>คุณสุรพงศ์ รังสิทศคุณ</t>
  </si>
  <si>
    <t>คุณสมพิจิตร ชัยชนะจารักษ์</t>
  </si>
  <si>
    <t>081-207-2003</t>
  </si>
  <si>
    <t>รุ่น 6 เช้า</t>
  </si>
  <si>
    <t>คุณพิภพ ด่านทิพารักษ์</t>
  </si>
  <si>
    <t>คุณอุ้ม วิรัตน์เกษม</t>
  </si>
  <si>
    <t>098-229-4165</t>
  </si>
  <si>
    <t>ทอย</t>
  </si>
  <si>
    <t>091-730-4440</t>
  </si>
  <si>
    <t>คุณธีรวัฒน์ แย้มเพียร</t>
  </si>
  <si>
    <t>089-892-8721</t>
  </si>
  <si>
    <t>082-499-7172</t>
  </si>
  <si>
    <t>คุณวิศณุ ดีท้วม</t>
  </si>
  <si>
    <t>085-919-2599</t>
  </si>
  <si>
    <t>คุณอาลัก ทัศณปริชญานนท์</t>
  </si>
  <si>
    <t>081-455-5399</t>
  </si>
  <si>
    <t>คุณสิทธิชัย พรมปากดี</t>
  </si>
  <si>
    <t>085-060-0212</t>
  </si>
  <si>
    <t>084-871-6262</t>
  </si>
  <si>
    <t>คุณวัลลภ ติรณสวัสดิ์</t>
  </si>
  <si>
    <t>084-405-5868</t>
  </si>
  <si>
    <t>คุณสุทธิพร ชินตระกูลรัตน์</t>
  </si>
  <si>
    <t>089-221-6555</t>
  </si>
  <si>
    <t>086-825-8078</t>
  </si>
  <si>
    <t>รุ่น 1 บัญชี</t>
  </si>
  <si>
    <t>นายเกษม ประชุมชน</t>
  </si>
  <si>
    <t>081-965-6483</t>
  </si>
  <si>
    <t>คุณศิริวรรณ สุทธิพัฒนะสมบุญ</t>
  </si>
  <si>
    <t>086-805-1210</t>
  </si>
  <si>
    <t>คุณกุลกาญจ์ พรสิริฉัตรเพชร</t>
  </si>
  <si>
    <t>หมูสียา รีสอร์ท  ปากข่อง</t>
  </si>
  <si>
    <t>084-087-5203</t>
  </si>
  <si>
    <t>คุณมณฑล ลิ้มศัตรูพ่าย</t>
  </si>
  <si>
    <t>081-566-9752</t>
  </si>
  <si>
    <t>คุณสมนึก ติรพัฒน์กบิล</t>
  </si>
  <si>
    <t>089-779-1417</t>
  </si>
  <si>
    <t>คุณทิพยวรรณ พยาฆรินทรังกูร</t>
  </si>
  <si>
    <t>086-337-3123</t>
  </si>
  <si>
    <t xml:space="preserve">คุณสมัย ศิริวัฒน์ </t>
  </si>
  <si>
    <t>081-351-4065</t>
  </si>
  <si>
    <t xml:space="preserve">คุณสมภพ อดุลวิทย์ </t>
  </si>
  <si>
    <t>099-645-1928</t>
  </si>
  <si>
    <t>รุ่น 13 ปวส</t>
  </si>
  <si>
    <t>คุณสมจิต คัมภิริชยา</t>
  </si>
  <si>
    <t>089-812-5057</t>
  </si>
  <si>
    <t>คุณสุจิรา ฉัตรมเพศ</t>
  </si>
  <si>
    <t>092-425-5416</t>
  </si>
  <si>
    <t>คุณสุวิทย์ เอกัง</t>
  </si>
  <si>
    <t>089-488-3334</t>
  </si>
  <si>
    <t xml:space="preserve">รุ่น 12 </t>
  </si>
  <si>
    <t xml:space="preserve">คุณเลิศชาย เสรีชวโรจน์ </t>
  </si>
  <si>
    <t>062-325-9879</t>
  </si>
  <si>
    <t>คุณนิภาภรณ์ แจ่มไพบูลย์</t>
  </si>
  <si>
    <t xml:space="preserve">คุณพวงแก้ว ปิติสานต์ </t>
  </si>
  <si>
    <t>081-373-9289</t>
  </si>
  <si>
    <t>คุณสุริวัสสา ดาวสุขชัยพันธุ์</t>
  </si>
  <si>
    <t>088-896-8151</t>
  </si>
  <si>
    <t xml:space="preserve">คุณกุสุมาลย์ เพชรหล่อ </t>
  </si>
  <si>
    <t>080-591-7735</t>
  </si>
  <si>
    <t xml:space="preserve">คูณณิชชา  วิศาลเมธี </t>
  </si>
  <si>
    <t xml:space="preserve">081-809-9822 </t>
  </si>
  <si>
    <t>คุณอาภรณ์  หนูห้อง</t>
  </si>
  <si>
    <t>089-762-7671</t>
  </si>
  <si>
    <t>คุณสุทัต  วงษ์วานิช</t>
  </si>
  <si>
    <t>081-836-0418</t>
  </si>
  <si>
    <t xml:space="preserve">คุณรวิวรรณ  อินทร์จันทร์ </t>
  </si>
  <si>
    <t>081-612-0500</t>
  </si>
  <si>
    <t>คุณเจษฏาพรรณ  ปรองดอง</t>
  </si>
  <si>
    <t>คุณประสิทธิ์  อึ้งอาภากุล</t>
  </si>
  <si>
    <t>คุณจตุพร ดวงดี</t>
  </si>
  <si>
    <t>081 327 2198</t>
  </si>
  <si>
    <t xml:space="preserve"> 085-916-2902 </t>
  </si>
  <si>
    <t>คุณเกษมุข สุวรรณเทพ</t>
  </si>
  <si>
    <t>081-836-7290</t>
  </si>
  <si>
    <t>คุณเสน์ห์ หลสุวรรณ</t>
  </si>
  <si>
    <t>096-569-1078</t>
  </si>
  <si>
    <t>-</t>
  </si>
  <si>
    <t>รุ่น ปวส. 15</t>
  </si>
  <si>
    <t xml:space="preserve"> 098-829-9394</t>
  </si>
  <si>
    <t>คุณปราณี เหมพงศ์พันธุ์</t>
  </si>
  <si>
    <t>คุณพิมพ์ศรี พฤกษจำรูญ</t>
  </si>
  <si>
    <t>คุณพัทธ์ธีรา ศิทธิโชคสกุลชัย</t>
  </si>
  <si>
    <t>คุณยุวลักษณ์ จินดาพงศ์</t>
  </si>
  <si>
    <t xml:space="preserve">คุณจันทร์เพ็ญ พลับศิริ </t>
  </si>
  <si>
    <t>081-615-4801</t>
  </si>
  <si>
    <t xml:space="preserve">คุณวุฒิชัย พิพัฒน์รังสรรค์ </t>
  </si>
  <si>
    <t>คุณกุลธิรา สุขุมพัฒน์</t>
  </si>
  <si>
    <t xml:space="preserve">                                         ชมรม เพื่อน พ.น.</t>
  </si>
  <si>
    <t>วันที่  3 ธันวาคม 2564</t>
  </si>
  <si>
    <t>เรื่อง    แจ้งสมาชิกครบกำหนดโอนเงินชำระค่าสมาชิก</t>
  </si>
  <si>
    <t>เรียน  ท่านสมาชิก ชมรม เพื่อน พ.น.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</si>
  <si>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ธ.ค. 2564</t>
    </r>
  </si>
  <si>
    <t>เพื่อแจ้งให้ชำระค่าสมาชิกภายใน 60 วัน ตามรายละเอียดดังนี้</t>
  </si>
  <si>
    <t>รหัสสมาชิก</t>
  </si>
  <si>
    <t>ชื่อสมาชิก</t>
  </si>
  <si>
    <t>โทรศัพท์</t>
  </si>
  <si>
    <t>1.กรุณาโอน เข้าบัญชี ธ.กรุงศรีฯ เซ็นทรัล พระราม 2 เลขที่ 800-4-05265-0</t>
  </si>
  <si>
    <t xml:space="preserve">   ชื่อบัญชี นางจินดารัตน์ ทัตอุปริตโถ, นางสุกัญญา จิรอลงกรณ์ และนายวีรเนศวร์ ศรีวัษนาชัย</t>
  </si>
  <si>
    <t xml:space="preserve">   และกรุณา ส่ง Pay in slip เข้า ไลน์ ชมรม เพื่อน พ.น.</t>
  </si>
  <si>
    <t>2.ทางชมรมฯ ขอสงวนสิทธิ์ หากสมาชิกท่านใดไม่โอนเงินภายใน 60วัน เราจะไม่มีสวัสดิการ</t>
  </si>
  <si>
    <t xml:space="preserve">  ในหมวด 11 ให้ จนกว่าท่านสมาชิกจะได้ชำระค่าสมาชิก  และนับวันที่โอนเป็นวันเริ่มต้นสมาชิก</t>
  </si>
  <si>
    <t>จึงเรียนมาเพื่อโปรดโอนเงินค่าสมาชิกดังกล่าวข้างต้น</t>
  </si>
  <si>
    <t>โทร. 065-394-1941</t>
  </si>
  <si>
    <t>ชมรม เพื่อน พ.น.</t>
  </si>
  <si>
    <t>วันที่  1 มกราคม 2565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</si>
  <si>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ม.ค. 2565</t>
    </r>
  </si>
  <si>
    <t>092-747-1115</t>
  </si>
  <si>
    <t>วันที่  1 กุมภาพันธ์ 2565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</si>
  <si>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ก.พ. 2565</t>
    </r>
  </si>
  <si>
    <t>วันที่  1 มีนาคม 2565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</si>
  <si>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มี.ค. 2565</t>
    </r>
  </si>
  <si>
    <t>วันที่  1 เมษายน 2565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</si>
  <si>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เม.ย. 2565</t>
    </r>
  </si>
  <si>
    <t>วันที่  1 พฤษภาคม 2565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</si>
  <si>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พ.ค. 2565</t>
    </r>
  </si>
  <si>
    <t>วันที่  1 มิถุนายน 2565</t>
  </si>
  <si>
    <r>
      <rPr>
        <sz val="18"/>
        <color rgb="FF0000FF"/>
        <rFont val="AngsanaUPC"/>
        <family val="1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AngsanaUPC"/>
        <family val="1"/>
      </rPr>
      <t>ค่าสมาชิก 300 บาท</t>
    </r>
    <r>
      <rPr>
        <sz val="18"/>
        <color rgb="FF0000FF"/>
        <rFont val="AngsanaUPC"/>
        <family val="1"/>
      </rPr>
      <t xml:space="preserve"> เดือน มิ.ย. 2565</t>
    </r>
  </si>
  <si>
    <t>วันที่  18 มิถุนายน 2565</t>
  </si>
  <si>
    <t>เรื่อง  แจ้งสมาชิกครบกำหนดโอนเงินชำระค่าสมาชิก</t>
  </si>
  <si>
    <r>
      <rPr>
        <sz val="18"/>
        <color rgb="FF0000FF"/>
        <rFont val="TH SarabunPSK"/>
        <family val="2"/>
        <charset val="222"/>
      </rPr>
      <t>ทางชมรม เพื่อน พ.น.ขอแจ้งรายชื่อสมาชิกที่ครบกำหนดชำระ</t>
    </r>
    <r>
      <rPr>
        <u/>
        <sz val="18"/>
        <color rgb="FF0000FF"/>
        <rFont val="TH SarabunPSK"/>
        <family val="2"/>
        <charset val="222"/>
      </rPr>
      <t>ค่าสมาชิก 300 บาท</t>
    </r>
    <r>
      <rPr>
        <sz val="18"/>
        <color rgb="FF0000FF"/>
        <rFont val="TH SarabunPSK"/>
        <family val="2"/>
        <charset val="222"/>
      </rPr>
      <t xml:space="preserve"> เดือน มิ.ย. 2565</t>
    </r>
  </si>
  <si>
    <t>1.กรุณาโอน เข้าบัญชี ธ.กรุงศรีอยุธยา  เซ็นทรัล สาขาบางนา เลขที่ 711-1-35424-1</t>
  </si>
  <si>
    <t xml:space="preserve">   ชื่อบัญชี นายฐานิสร์พงศ์  ศุภธนานันท์, นางสาวอรวรรณ  พุ่มผาสุข  และนางวัลลภา  คล่องแคล่ว</t>
  </si>
  <si>
    <t>2.ทางชมรมฯ ขอสงวนสิทธิ์ หากสมาชิกท่านใดไม่โอนเงินภายใน 60 วัน เราจะไม่มีสวัสดิการ</t>
  </si>
  <si>
    <t>โทร. 08-4025-8242  (นางวัลลภา  คล่างแคล่ว)  เหมียว</t>
  </si>
  <si>
    <t>เพื่อแจ้งให้ชำระค่าสมาชิกภายใน 30 วัน ตามรายละเอียดดังนี้</t>
  </si>
  <si>
    <t>1.  กรุณาโอน เข้าบัญชี ธ.กรุงศรีอยุธยา  เซ็นทรัล สาขาบางนา  เลขที่  711-1-35424-1</t>
  </si>
  <si>
    <t xml:space="preserve">    ชื่อบัญชี นายฐานิสร์พงศ์  ศุภธนานันท์, นางสาวอรวรรณ  พุ่มผาสุข  และนางวัลลภา  คล่องแคล่ว</t>
  </si>
  <si>
    <t xml:space="preserve">    และกรุณา ส่ง Pay in slip เข้า ไลน์ ชมรม เพื่อน พ.น.</t>
  </si>
  <si>
    <t>2.  ทางชมรมฯ ขอสงวนสิทธิ์ หากสมาชิกท่านใดไม่โอนเงินภายใน 30 วัน เราจะไม่มีสวัสดิการ</t>
  </si>
  <si>
    <t xml:space="preserve">    ในหมวด 11 ให้ จนกว่าท่านสมาชิกจะได้ชำระค่าสมาชิก  และนับวันที่โอนเป็นวันเริ่มต้นสมาชิก</t>
  </si>
  <si>
    <t>ชมรมเพื่อน พ.น.</t>
  </si>
  <si>
    <t>หน้า 1</t>
  </si>
  <si>
    <t>ชื่อเล่น/ฉายา</t>
  </si>
  <si>
    <t>เบอร์มือถือ</t>
  </si>
  <si>
    <t>วันที่ต่ออายุล่าสุด</t>
  </si>
  <si>
    <t>หมดอายุ</t>
  </si>
  <si>
    <t>สถานะ</t>
  </si>
  <si>
    <t xml:space="preserve"> 091-826-4294</t>
  </si>
  <si>
    <t>ไม่ต่ออายุ</t>
  </si>
  <si>
    <t>202/54 ไลฟ์บางกอกบูเลอวาร์ด วงแหวนอ่อนนุช ถ.กาญจนาภิเษก แขวงดอกไม้ เขตประเวศ กทม</t>
  </si>
  <si>
    <t>113/132 ซ.3 ถ.การุญราษฎร์ อ.เมื่อง จ.สุราษฎร์ธานี</t>
  </si>
  <si>
    <t>44/165 ซ.นาคนิวาส 27 แยก 6 ถ.ลาดพร้าว แขวงลาดพร้าว เขต ลาดพร้าว กทม</t>
  </si>
  <si>
    <t>39,41 ถ.วัชรพล แขวงท่าแร้ง เขตบางเขน กทม</t>
  </si>
  <si>
    <t>คุณภาสีนี บุญชยาอนันต์ (แป้น)</t>
  </si>
  <si>
    <t>คุณนงเยาว์ อินทรปรางค์ (กุ้ง)</t>
  </si>
  <si>
    <t>36 ซ.เพชรเกษม 92 แขวงบางแคเหนือ เขตบางแค กทม</t>
  </si>
  <si>
    <t>คุณวินัย แซ่เจียม (ฮวก)</t>
  </si>
  <si>
    <t>คุณลักขณา ศรีไตรรัตนรักษ์ (กุ้ง)</t>
  </si>
  <si>
    <t>165 หมู่บ้านดิเอมเมอรัลด์ปาร์ค ซ.เรวดี 61 ถ.เรวดี ต.ตลาดขวัญ อ.เมือง นนทบุรี</t>
  </si>
  <si>
    <t xml:space="preserve">111/303 ต.บางเดื่อ อ.เมือง จ.ปทุมธานี        </t>
  </si>
  <si>
    <t>คุณดวงพร อัมระนันทน์ (น๊อต)</t>
  </si>
  <si>
    <t>คุณอัครวัฒน์ ก่องเกียรติกานต์(พรหมมาต)</t>
  </si>
  <si>
    <t>คุณวิอร สวัสดิแก้ว(อนุกูล รัตนโกศล)</t>
  </si>
  <si>
    <t>70/97 ซ.เทศบาล 27 ถ.ถีนานนท์ อ.เมือง จ.กาฬสินธุ์</t>
  </si>
  <si>
    <t>คุณณิชภัทร(อ้อย) ชุ่มชูจันทร์</t>
  </si>
  <si>
    <t>คุณวิยะนา นาวานุกูล(เขียว ชุมพร)</t>
  </si>
  <si>
    <t>คุณรำไพ(โก๋) คล้ายจินดา</t>
  </si>
  <si>
    <t xml:space="preserve">คุณเครือวัลย์(อ๊อด) ไข่แก้ว </t>
  </si>
  <si>
    <t>คุณวิภาดา(ตา) รัตนราศี</t>
  </si>
  <si>
    <t>36 ร่มเกล้า ต.ตะพานหิน อ.ตะพานหิน จ.พิจิตร 66110</t>
  </si>
  <si>
    <t>คุณประภารัตน์ เกิดศิริ (บัวหอม)</t>
  </si>
  <si>
    <t>คุณจิราพรณณา พวงมาลี</t>
  </si>
  <si>
    <t>คุณชญาดา เจริญพร (จงกลนี)</t>
  </si>
  <si>
    <t>คุณมยุรี ภูมิสุทธินันท์ (มะ)</t>
  </si>
  <si>
    <t>43 หมู่ 5 หมู่บ้านเพชรงาม แพรกษา 1 ปากซอย 19 ถ.แพรกษา ต.แพรกษาใหม่ อ.เมือง สมุทรปราการ</t>
  </si>
  <si>
    <t>คุณชนานันท์ เกตุผ่อง (หมู)</t>
  </si>
  <si>
    <t>คุณฤทัยรัตน์ บุญเกิด (เล็ก)</t>
  </si>
  <si>
    <t xml:space="preserve">คุณชยุด(เก๊) ชินะอาคตะกุล </t>
  </si>
  <si>
    <t xml:space="preserve">คุณนวลจันทร์ เพ็ญชาติ (แตน) </t>
  </si>
  <si>
    <t>คุณดุสิต นันชนก (ต๋อย)</t>
  </si>
  <si>
    <t xml:space="preserve">คุณมัสยา แสงโนรี F บ้านบึง </t>
  </si>
  <si>
    <t xml:space="preserve">คุณชนากานต์ ธรรมสโรจ บ่าย F </t>
  </si>
  <si>
    <t>เสีย 15/4/60</t>
  </si>
  <si>
    <t xml:space="preserve"> 2/11/2559</t>
  </si>
  <si>
    <t>1554 ซอย F2 บ้านสินธร ถ.รังสิต-ปทุมธานี ต.บางพูน อ.เมือง ปทุมธานี</t>
  </si>
  <si>
    <t xml:space="preserve">คุณเชษฐ์ชนัต(บุนนาค)วัฒนานานนท์ </t>
  </si>
  <si>
    <t>56 หมู่บ้านวรางกูร ซอย 1 ต.ประชาธิปัตย์ อ.ธัญญะบุรี จ.ปทุมธานี 12130</t>
  </si>
  <si>
    <t>7 บ่าย</t>
  </si>
  <si>
    <t>2 บ่าย</t>
  </si>
  <si>
    <t>126 ถ.ประโคนชัย อ.เมือง จ.สมุทรปราการ</t>
  </si>
  <si>
    <t>คุณธนะสิทธิ์ ศิวะยิ่งสุวรรณ (ตี๋)</t>
  </si>
  <si>
    <t>คุณสุรพันธ์ โล่ห์นิมิตร  (ตี๋)</t>
  </si>
  <si>
    <t>159 ซ.รามคำแหง 36 ถ.รามคำแหง แขวงหัวหมาก เขตบางกะปิ กทม</t>
  </si>
  <si>
    <t>00490208-4687442</t>
  </si>
  <si>
    <t>329 ถ.สุขุมวิท 77 ซ.อ่อนนุช 10 แขวง/เขตสวนหลวง กรุงเทพฯ 10250</t>
  </si>
  <si>
    <t>166/450 ถ.พหลโยธิน 52 แขวงคลองถนน เขตสายไหม กทม</t>
  </si>
  <si>
    <t>81 ซ.พึ่งมี 32 ถ.สุขุมวิท 93 บางจาก พระโขนง กรุงเทพ</t>
  </si>
  <si>
    <t xml:space="preserve">คุณมณีรัตน์    อิ่มชื่น </t>
  </si>
  <si>
    <t>7/281 ซ.รามคำแหง 152 ถ.รามคำแหง แขวงสะพานสูง เขตสะพานสูง กทม</t>
  </si>
  <si>
    <t xml:space="preserve"> 21/ 432 ม.ถาวรนิเวศน์ 2 ซ.บางนา-ตราด 12 ถ.บางนา-ตราด ต.บางนา อ.บางนา กรุงเทพฯ</t>
  </si>
  <si>
    <t xml:space="preserve">204/5 หมู่บ้านสัมมากร ถ.รามคำแหง แขวงสะพานสูง เขตสะพานสูง กทม </t>
  </si>
  <si>
    <t xml:space="preserve">1006 ถนนสามเสน แขวงนครไชรศรี เขตตุสิต กรุงเทพ </t>
  </si>
  <si>
    <t>คุณฉันทกร รุจศรีสาคร(สาคร)</t>
  </si>
  <si>
    <t>คุณพรยศ(คำรณ)</t>
  </si>
  <si>
    <t>คุณประเพียร อชินีทองคำ(ทอย)</t>
  </si>
  <si>
    <t>56 ซ.รังสิต-นครนายก 64 ต.ประชาธิปัตย์ อ.ธัญบุรี จ.ปทุมธานี</t>
  </si>
  <si>
    <t xml:space="preserve">40 ถ.สุขุมวทิ ซอย 97 แขวงบางจาก เขตพระโขนง กรุงเทพ </t>
  </si>
  <si>
    <t>11/2 ม.13 ถ.เพชรหึงส์ ต.บางกอบัว อ.พระประแดง จ.สมุทรปราการ</t>
  </si>
  <si>
    <t>271 ซ.บางนาตราด16 ถ.บางนา-ตราด เขตบางนา แขวงบางนา กทม</t>
  </si>
  <si>
    <t>คุณพชรพร วชิราพรชัยพงศ์ การตลาด</t>
  </si>
  <si>
    <t>คุณชัยวัฒน์ ศิริญาณ(มณีไทย)</t>
  </si>
  <si>
    <t>มานีไทย ซานฟราน</t>
  </si>
  <si>
    <t>คุณศิริวรรณ บาลนคร เลช 0315</t>
  </si>
  <si>
    <t xml:space="preserve">Fr.Walailux Volkemer. Blücher str.74. 46045. Oberhausen Germany.  </t>
  </si>
  <si>
    <t>นางรัชนี อุดมวงค์</t>
  </si>
  <si>
    <t>น.ส.เฉลิมลักษณ์ เอกมณี เลข 0301</t>
  </si>
  <si>
    <t>คุณนิตยา(คงธนะ) เหล่าศิริลือชาไกล</t>
  </si>
  <si>
    <t>นายชูชาติ มงคลศิริวัฒนะ</t>
  </si>
  <si>
    <t>นางผุสดี แจ่มใส</t>
  </si>
  <si>
    <t xml:space="preserve">นายยุทธนา เพชรโชติ (กุ้ง) </t>
  </si>
  <si>
    <t xml:space="preserve">3/13 ซ.ปรีดีพนมยงค์ 1 สุขุมวิท 71 พระโขนงเหนือ กทม. </t>
  </si>
  <si>
    <t>114/6 ถ.โพธาราม ซอย 1 ต.ช้างเผือก อ.เมือง จ.เชียงใหม่ 50300</t>
  </si>
  <si>
    <t>คุณรัชวรรณ นิ่มโวหาร(ชื่นประทุม)</t>
  </si>
  <si>
    <t>คุณฐานิร์พงศ์ ศุภธนานันท์</t>
  </si>
  <si>
    <t>1 ซ.เสนานิคม 1 ซ.42 แยก 16 ถ.เสนานิคม 1 แขวงลาดพร้าว กทม</t>
  </si>
  <si>
    <t xml:space="preserve">127/5 ถนนมหานคร ต.มหาพฤฒาราม เขตบางรัก กทม </t>
  </si>
  <si>
    <t>1/120 หมู่บ้านพาทาโกเนีย 3 ซ.สามวา 3 ถ.สามวา แขวงมีนบุรี เขตมีนบุรี</t>
  </si>
  <si>
    <t>2100/72 ถ.จันทน์ แขวงช่องนนทรี เขตยานนาวา กรุงเทพ</t>
  </si>
  <si>
    <t>คุณสุวัฒนา เขินประติยุทธ(จันทนา ดำเก็งรัตน์)</t>
  </si>
  <si>
    <t>ไม่มีสวัสดิการ</t>
  </si>
  <si>
    <t>คุณมนตรี รัฐประเสริฐ 0831</t>
  </si>
  <si>
    <t xml:space="preserve">243/1 ถ.เพชรเกษม แขวงปากคลอง เขตภาษีเจริญ กทม </t>
  </si>
  <si>
    <t>คุณนิชาภา รุ่งแสงธราธร 150 ชื่อเดิม สุพัตรา เทียมรัตน์</t>
  </si>
  <si>
    <t xml:space="preserve">วาณี ภัทราวุธสมบูรณ์ </t>
  </si>
  <si>
    <t xml:space="preserve">1692/122 หมู่บ้านคุ้มทองวิลล่า ต.เทพารักษ์ อ.เมืองจ.สมุทรปราการ </t>
  </si>
  <si>
    <t>081-9130175</t>
  </si>
  <si>
    <t>89/117 หมู่บ้านลานมณี ซ.สายไหม 55 ถ.สายใหม แขวงสายไหม เขตสายไหม กทม 10220</t>
  </si>
  <si>
    <t>91/65 ม. 3 ต.บ้านสวน อ.เมือง จ.ชลบุรี 20000</t>
  </si>
  <si>
    <t>คุณณิศรามิล โภคินพีรวัศ(ภิมม์)</t>
  </si>
  <si>
    <t>คุณสารภี (แหม่ม) บูรณศิรินทร์</t>
  </si>
  <si>
    <t>คุณมนต์ศักดิ์ เชื่อมวงศ์ (จากสหรัฐ)</t>
  </si>
  <si>
    <t>คุณอัญชลี อัครพงศ์(กบ)</t>
  </si>
  <si>
    <t>22 ซ.บางนา-ตราด 5 ถ.บางนา-ตราด แขวงบางนา เขตบางนา กทม. 10260</t>
  </si>
  <si>
    <t>คุณกฤติน (วิชิต) ศรีสุนทรไท</t>
  </si>
  <si>
    <t>081-805-5587</t>
  </si>
  <si>
    <t>88/1 ซอย 1 หมู่บ้านมัณฑนา ปิ่นเกล้า พระราม 5 ถ.นครอินทร์ ต.บางขุนกอง บางกรวย นนทบุรี 11130</t>
  </si>
  <si>
    <t xml:space="preserve">  089-682-4837</t>
  </si>
  <si>
    <t>081-9416749</t>
  </si>
  <si>
    <t>วัน/เดือน/ปี เกิด</t>
  </si>
  <si>
    <t>สวัสดิการสมาชิกชมรมเพื่อน พ.น.</t>
  </si>
  <si>
    <t>ค่าบำรุงสมาชิกรายปีๆ 300.-บาท</t>
  </si>
  <si>
    <t>หมวดที่ 5</t>
  </si>
  <si>
    <t>ค่าบำรุงสมาชิกและค่าธรรมเนียม</t>
  </si>
  <si>
    <t>ที่ปรึกษากิตติมศักดิ์ไม่ต้องชำระค่าบำรุง</t>
  </si>
  <si>
    <t xml:space="preserve">ค่าธรรมเนียมอื่นๆ </t>
  </si>
  <si>
    <t>สมาชิก ถึงแก่กรรม จะได้รับความช่วยเหลือในงานบำเพ็ญกุศล จำนวนเงิน 5,000.-บาท</t>
  </si>
  <si>
    <t>สมาชิก เข้ารับการรักษาอาการเจ็บป่วยที่ รพ. ตั้งแต่ 3 วันขึ้นไป ชมรมฯ เยี่ยมไข้ ไม่เกินครั้งละ 1,500 บาท ไม่เกิน 2 ครั้งต่อปี</t>
  </si>
  <si>
    <t>อาจารย์/ที่ปรึกษากิตติมศักดิ์ ถึงแก่กรรม จัดพวงหรีดในนามชมรมฯ ไม่เกิน 2,000.-บาท</t>
  </si>
  <si>
    <t>สมาชิก/บุคคลในครอบครัวของสมาชิกถึงแก่กรรม จัดพวงหรีดในนามชมรมฯ ไม่เกิน 2000.-บาท</t>
  </si>
  <si>
    <t>อาจารย์/ที่ปรึกษากิตติมศักดิ์ เข้ารับการรักษาอาการเจ็บป่วยที่ รพ. ตั้งแต่ 3 วันขึ้นไป ชมรมฯ เยี่ยมไข้ ไม่เกินครั้งละ 2,000 บาท ไม่เกิน 1 ครั้งต่อปี</t>
  </si>
  <si>
    <t xml:space="preserve">สวัสดิการอื่น ๆ </t>
  </si>
  <si>
    <t xml:space="preserve">หมวดที่ 11 </t>
  </si>
  <si>
    <t>เบอร์โทรศัพท์</t>
  </si>
  <si>
    <t>Line ID</t>
  </si>
  <si>
    <t>Facebook</t>
  </si>
  <si>
    <t>ที่อยู่ปัจจุบัน</t>
  </si>
  <si>
    <t>แผนกวิชา</t>
  </si>
  <si>
    <t>บุคลติดต่อฉุกเฉิน</t>
  </si>
  <si>
    <t>ชื่อ</t>
  </si>
  <si>
    <t>เบอร์ติดต่อ</t>
  </si>
  <si>
    <t>ความสัมพันธ์</t>
  </si>
  <si>
    <t>Drop down เลือก</t>
  </si>
  <si>
    <t>ภาพถ่าย</t>
  </si>
  <si>
    <t>ปัจจุบันยังสอน</t>
  </si>
  <si>
    <t>สอนคณะ/วิชา</t>
  </si>
  <si>
    <t>คณะ</t>
  </si>
  <si>
    <t>รหัสอาจารย์</t>
  </si>
  <si>
    <t>ฐานข้อมูลอาจารย์</t>
  </si>
  <si>
    <t>Notic 1</t>
  </si>
  <si>
    <t>รายงาน/แจ้งเตือนต่ออายุสมาชิกรายปี</t>
  </si>
  <si>
    <t>Notic 2</t>
  </si>
  <si>
    <t>เก็บประวัติการเบิกสวัสดิการของสมาชิก (ตามรายการสวัสดิการหมวด 11)</t>
  </si>
  <si>
    <t>Notic 3 สถานะสมาชิก</t>
  </si>
  <si>
    <t>Active (ชำระเงินภายใน 30วัน หลังครบกำหนด)</t>
  </si>
  <si>
    <t>Active (นับวันสมัครสมาชิกใหม่ - ชำระเงินภายใน 90วัน/ไม่มีสวัสดิการ)</t>
  </si>
  <si>
    <t>สิ้นสภาพสมาชิก (ไม่ชำระเงินเกิน 90 วัน)</t>
  </si>
  <si>
    <t>A0001</t>
  </si>
  <si>
    <t xml:space="preserve"> อ.จิราพร คำประพัฒน์</t>
  </si>
  <si>
    <t>08 0939 1524</t>
  </si>
  <si>
    <t xml:space="preserve"> 201/135 ม.11 ซ.9 หมู่บ้านบางพลีนคร ถ.เทพารักษ์ ต.บางพลีใหญ่ อ.บางพลี จ.สมุทรปราการ 10540</t>
  </si>
  <si>
    <t xml:space="preserve"> เกษียณ</t>
  </si>
  <si>
    <t>A0002</t>
  </si>
  <si>
    <t xml:space="preserve"> อ.บงกชกุล เจริญสุข</t>
  </si>
  <si>
    <t>08 0946 6612</t>
  </si>
  <si>
    <t xml:space="preserve"> 82/4 ม.1 ซ.ภานุวงศ์ 117 ต.บางเมืองใหม่ อ.เมือง จ.สมุทรปราการ 10270</t>
  </si>
  <si>
    <t>A0003</t>
  </si>
  <si>
    <t>A0004</t>
  </si>
  <si>
    <t xml:space="preserve"> อ.ฐานิสร แคนทอง</t>
  </si>
  <si>
    <t>08 9680 7705</t>
  </si>
  <si>
    <t xml:space="preserve"> 53/2 ม.6 ต.พรหนิมิต อ.ตาคลี จ.นครสวรรค์</t>
  </si>
  <si>
    <t xml:space="preserve"> อ.รัตกานต์ พันธุ์ดี</t>
  </si>
  <si>
    <t>08 1906 3291</t>
  </si>
  <si>
    <t xml:space="preserve"> 3 ซ.ประชาอุทิศ 5 แยก 3-2 แขวงดอนเมือง เขตดอนเมือง กรุงเทพฯ 10210</t>
  </si>
  <si>
    <r>
      <t xml:space="preserve">Active (ชำระเงินภายใน 90 วัน - </t>
    </r>
    <r>
      <rPr>
        <b/>
        <sz val="15"/>
        <color theme="9" tint="-0.249977111117893"/>
        <rFont val="Tahoma"/>
        <family val="2"/>
        <scheme val="minor"/>
      </rPr>
      <t>รอครบ xx วัน</t>
    </r>
    <r>
      <rPr>
        <sz val="15"/>
        <color theme="1"/>
        <rFont val="Tahoma"/>
        <family val="2"/>
        <scheme val="minor"/>
      </rPr>
      <t xml:space="preserve"> รับสวัสดิการได้)</t>
    </r>
  </si>
  <si>
    <t>ที่</t>
  </si>
  <si>
    <t>ชื่อ-นามสกุล</t>
  </si>
  <si>
    <t>ตำแหน่ง</t>
  </si>
  <si>
    <t>เบอร์โทร</t>
  </si>
  <si>
    <t>E-mail</t>
  </si>
  <si>
    <t xml:space="preserve"> นายฐานิสร์พงศ์ ศุภธนานันท์</t>
  </si>
  <si>
    <t xml:space="preserve"> ประธานชมรมเพื่อน พ.น.</t>
  </si>
  <si>
    <t xml:space="preserve"> นางวัลลภา คล่องแคล่ว</t>
  </si>
  <si>
    <t xml:space="preserve"> นางเมทินี สุขคำ</t>
  </si>
  <si>
    <t xml:space="preserve"> เลขานุการ/ทะเบียน/เหรัญญิก</t>
  </si>
  <si>
    <t>08 4025 8242</t>
  </si>
  <si>
    <t xml:space="preserve"> 0840258242.gm@gmail.com</t>
  </si>
  <si>
    <t xml:space="preserve"> mdplanner11@gmail.com</t>
  </si>
  <si>
    <t>08 6310 5785</t>
  </si>
  <si>
    <t xml:space="preserve"> boonmay2012@gmail.com</t>
  </si>
  <si>
    <t xml:space="preserve"> บัญชี</t>
  </si>
  <si>
    <t>สิทธิ์</t>
  </si>
  <si>
    <t xml:space="preserve"> ดูข้อมูลอย่างเดียว</t>
  </si>
  <si>
    <t xml:space="preserve"> คีย์ข้อมูลอัพเดทต่างๆ</t>
  </si>
  <si>
    <t>08 1255 8440</t>
  </si>
  <si>
    <t xml:space="preserve"> anchalee.rung@gmail.com</t>
  </si>
  <si>
    <t xml:space="preserve"> คุณอัญชลี รุ่งเรือง</t>
  </si>
  <si>
    <t xml:space="preserve"> กิจกรรม</t>
  </si>
  <si>
    <t xml:space="preserve"> อ.กนกพชร์ ไชยทุ่งฉิน</t>
  </si>
  <si>
    <t xml:space="preserve"> 56/112 หมู่บ้านปัฐวิกรณ์ 1 ซอย 4 ถ.นวมินทร์ แขวงคลองกุ่ม เขตบึงกุ่ม กรุงเทพฯ 10240</t>
  </si>
  <si>
    <t xml:space="preserve"> อ.กรรณิการ์ ถึงฝั่ง</t>
  </si>
  <si>
    <t>FAX</t>
  </si>
  <si>
    <t>0 2759 8922</t>
  </si>
  <si>
    <t xml:space="preserve"> 233/187 หมู่บ้านนันทวันศรีนครินทร์ ซอย 11 ต.บางปิ้ง อ.เมือง จ.สมุทรปราการ 10270</t>
  </si>
  <si>
    <t xml:space="preserve"> อ.กรอนงค์ จงอรุณงามแสง</t>
  </si>
  <si>
    <t>0 2510 4490 / 0 2510 0706</t>
  </si>
  <si>
    <t>0 2759 8140 / 08 5199 8746</t>
  </si>
  <si>
    <t>0 2397 5603 / 08 1251 5631</t>
  </si>
  <si>
    <t xml:space="preserve"> 33/187 หมู่ 14 ถ.บางนา-ตราด ต.บางแก้ว อ.บางพลี จ.สมุทรปราการ 10540</t>
  </si>
  <si>
    <t xml:space="preserve"> อ.กฤชต์พรรณ พณิชยกุล</t>
  </si>
  <si>
    <t>08 6780 4786</t>
  </si>
  <si>
    <t xml:space="preserve"> 15/1 ซอยศิริเกษม 19 แยก 10 ถ.พุทธมณฑลสาย 3 แขวงบางไผ่ เขตบางแค กรุงเทพฯ 10160</t>
  </si>
  <si>
    <t xml:space="preserve"> อ.กัญญา จำปา</t>
  </si>
  <si>
    <t>0 2328 0303 / 09 6887 8091</t>
  </si>
  <si>
    <t xml:space="preserve"> 98/8 หมู่บ้านอิมพีเรียลพาร์ค ซอย 67 ถ.เฉลิมพระเกียรติ ร.9 แขวงประเวศ เขตประเวศ กรุงเทพฯ 10250</t>
  </si>
  <si>
    <t>A0005</t>
  </si>
  <si>
    <t xml:space="preserve"> อ.กันยารัตน์ วีระทรัพย์</t>
  </si>
  <si>
    <t>08 9678 7705</t>
  </si>
  <si>
    <t xml:space="preserve"> 4221 หมู่ 1 ซ.ด่านสำโรง 50/37 ต.สำโรงเหนือ อ.เมือง จ.สมุทรปราการ 10270</t>
  </si>
  <si>
    <t xml:space="preserve"> อ.กัลยาณี จิรนิรันดร์กุล</t>
  </si>
  <si>
    <t>08 9168 6161</t>
  </si>
  <si>
    <t xml:space="preserve"> 8/78 หมู่บ้านทาวน์อเวนิว ซ.อ่อนนุช 68 ถ.สุขุมวิท 77 แขวงสวนหลวง เขตสวนหลวง กรุงเทพฯ 10250</t>
  </si>
  <si>
    <t xml:space="preserve"> อ.กาญจนา ภัยสูญสิ้น</t>
  </si>
  <si>
    <t>06 2871 0990</t>
  </si>
  <si>
    <t xml:space="preserve"> 392 ซ.ลาดกระบัง 1 แขวงลาดกระบัง เขตลาดกระบัง กรุงเทพฯ 10520</t>
  </si>
  <si>
    <t xml:space="preserve"> อ.กุหลาบ ศิริบุญพันธ์</t>
  </si>
  <si>
    <t>0 2393 1358</t>
  </si>
  <si>
    <t xml:space="preserve"> 59/13 ซ.อุดมสุข 13 ถ.สุขุมวิท 103 แขวงบางนาเหนือ เขตบางนา กรุงเทพฯ 10260</t>
  </si>
  <si>
    <t xml:space="preserve"> อ.จันทรา ยินดียม</t>
  </si>
  <si>
    <t>0 2337 6006 / 06 5868 9684</t>
  </si>
  <si>
    <t xml:space="preserve"> 20 ทุ่งเศรษฐีแยก 27 แขวงดอกไม้ เขตประเวศ กรุงเทพฯ 10250</t>
  </si>
  <si>
    <t xml:space="preserve"> อ.จิตรลดา ชัยวิชาชาญ</t>
  </si>
  <si>
    <t>09 1887 0464</t>
  </si>
  <si>
    <t xml:space="preserve"> 266 ถ.สุขุมวิท 95 แขวงบางจาก เขตพระโขนง กรุงเทพฯ 10260</t>
  </si>
  <si>
    <t>A0006</t>
  </si>
  <si>
    <t>A0007</t>
  </si>
  <si>
    <t>A0008</t>
  </si>
  <si>
    <t>A0009</t>
  </si>
  <si>
    <t>A0010</t>
  </si>
  <si>
    <t>A0011</t>
  </si>
  <si>
    <t xml:space="preserve"> อ.จิรพันธ์ สิทธิเขตการ</t>
  </si>
  <si>
    <t>09 4696 3551</t>
  </si>
  <si>
    <t xml:space="preserve"> 216/14 หมู่บ้านไพโรจน์ ถ.บางนา-ตราด กม.4 แขวงบางนา เขตบางนา กรุงเทพฯ 10260</t>
  </si>
  <si>
    <t xml:space="preserve"> อ.จุฬาพรรณ มอญโพพาน</t>
  </si>
  <si>
    <t xml:space="preserve"> 143/69 ม.7 ถ.ศรีวารีน้อย ต.บางโฉลง อ.บางพลี จ.สมุทรปราการ 10540</t>
  </si>
  <si>
    <t xml:space="preserve"> อ.จุไร ชั้นประเสริฐ</t>
  </si>
  <si>
    <t>0 2996 5179 / 08 6862 0512</t>
  </si>
  <si>
    <t xml:space="preserve"> 431 ซ.7 หมู่บ้านมาลีวัลย์ ถ.รังสิต-นครนายก ธัญบุรี จ.ปทุมธานี 12130</t>
  </si>
  <si>
    <t xml:space="preserve"> อ.เฉิดฉาย จิตต์นิยม</t>
  </si>
  <si>
    <t>0 2633 0505 / 08 4680 1131</t>
  </si>
  <si>
    <t xml:space="preserve"> 179 ซอยแก้วฟ้า ถ.สี่พระยา เขตบางรัก กรุงเทพฯ 10500</t>
  </si>
  <si>
    <t xml:space="preserve"> อ.ชนาพร สันติกุล</t>
  </si>
  <si>
    <t>08 1376 6102</t>
  </si>
  <si>
    <t xml:space="preserve"> 314 ซอยบางนา-ตราด 27 ถ.บางนา-ตราด บางนา กรุงเทพฯ 10260</t>
  </si>
  <si>
    <t xml:space="preserve"> อ.ชีวิน สาสะเน</t>
  </si>
  <si>
    <t>08 0999 9399</t>
  </si>
  <si>
    <t xml:space="preserve"> 8 ซอยอุดมสุข 24 ถ.อุดมสุข (สุขุมวิท 103) แขวงบางนาเหนือ เขตบางนา กรุงเทพฯ 10260</t>
  </si>
  <si>
    <t xml:space="preserve"> อ.ฐิติรักษ์ อรุณรักษ์ติชัย</t>
  </si>
  <si>
    <t>0 2332 5278 / 08 9044 5906</t>
  </si>
  <si>
    <t xml:space="preserve"> 867/144 ซอยสุขุมวิท 101 แขวงบางจาก เขตพระโขนง กรุงเทพฯ 10260</t>
  </si>
  <si>
    <t xml:space="preserve"> อ.ณัฐนันทิกา แตงตาด</t>
  </si>
  <si>
    <t>0 2361 5777 / 08 5832 2862</t>
  </si>
  <si>
    <t xml:space="preserve"> 29 ซอยล้วน-เจือ อนุสรณ์ 2 ถ.สุขุมวิท 70/3 เขตบางนา กรุงเทพฯ 10260</t>
  </si>
  <si>
    <t xml:space="preserve"> รศ.ดร.สมพงษ์ แตงตาด</t>
  </si>
  <si>
    <t xml:space="preserve"> ผอ.ณัฐศุภางค์ นพคุณ</t>
  </si>
  <si>
    <t>09 4810 8857</t>
  </si>
  <si>
    <t xml:space="preserve"> 333/109 ซอย 24/1 หมู่บ้านกฤษณา ถ.กิ่งแก้ว ต.ราชาเทวะ อ.บางพลี จ.สมุทรปราการ 10540</t>
  </si>
  <si>
    <t xml:space="preserve"> อ.เดือนเพ็ญ ชุลีสาร</t>
  </si>
  <si>
    <t>09 5250 5892</t>
  </si>
  <si>
    <t xml:space="preserve"> 45/1 ถ.สุขุมวิท 60/1 แขวงบางจาก เขตพระโขนง กรุงเทพฯ 10260</t>
  </si>
  <si>
    <t xml:space="preserve"> อ.ทองธิว ภัยสูญสิ้น</t>
  </si>
  <si>
    <t>08 9887 1845</t>
  </si>
  <si>
    <t xml:space="preserve"> 392 ซอยลาดกระบัง 1 แขวงลาดกระบัง เขตลาดกระบัง กรุงเทพฯ 10520</t>
  </si>
  <si>
    <t xml:space="preserve"> อ.ธวัชชัย บำรุงกิจ</t>
  </si>
  <si>
    <t>0 2747 9885 / 08 1291 7113</t>
  </si>
  <si>
    <t xml:space="preserve"> 43 ซอยอุดมสุข 15 ถ.สุขุมวิท 103 แขวงบางนาเหนือ เขตบางนา กรุงเทพฯ 10260</t>
  </si>
  <si>
    <t xml:space="preserve"> อ.ธานินทร์ ตังคุณากร</t>
  </si>
  <si>
    <t>08 7826 7066</t>
  </si>
  <si>
    <t xml:space="preserve"> 18/174 หมู่บ้านเปอร์เฟ็คท์เพลส พัฒนาการ-ศรีนครินทร์ ซ.อ่อนนุช 80 แยก 5 ถ.อ่อนนุช เขตประเวศ กรุงเทพฯ 10250</t>
  </si>
  <si>
    <t xml:space="preserve"> อ.ธารามาศ จันทร์นุ้ย</t>
  </si>
  <si>
    <t>08 1904 0244 / 09 2891 2832 / 09 3923 6749</t>
  </si>
  <si>
    <t xml:space="preserve"> 109/739 หมู่ 2 หมู่บ้านพฤกษา 28 ต.แพรกษาใหม่ อ.เมือง จ.สมุทรปราการ 10280</t>
  </si>
  <si>
    <t xml:space="preserve"> อ.ธีรภัทร หริรัตน์</t>
  </si>
  <si>
    <t>0 2311 3465 / 08 1014 9687</t>
  </si>
  <si>
    <t xml:space="preserve"> 456 ซ.สุขุมวิท 95 ถ.สุขุมวิท แขวงบางจาก เขตพระโขนง กรุงเทพฯ 10260</t>
  </si>
  <si>
    <t xml:space="preserve"> อ.นภัสภร วรนิธิปรีชา</t>
  </si>
  <si>
    <t>0 2368 2410 / 08 5099 0722</t>
  </si>
  <si>
    <t xml:space="preserve"> 100/305 หมู่บ้านนักกีฬาแหลมทอง ถ.กรุงเทพกรีฑา สะพานสูง กรุงเทพฯ 10250</t>
  </si>
  <si>
    <t xml:space="preserve"> อ.นันทา เศรษฐปราโมทย์</t>
  </si>
  <si>
    <t>0 2 377 1807</t>
  </si>
  <si>
    <t xml:space="preserve"> 1430 ซอย 47 การเคหะแห่งชาติ ถ.นวมินทร์ แขวงคลองจั่น เขตบางกะปิ กรุงเทพฯ 10240</t>
  </si>
  <si>
    <t xml:space="preserve"> อ.นิสา สายสังข์</t>
  </si>
  <si>
    <t>0 2953 4042 / 08 1348 2723</t>
  </si>
  <si>
    <t xml:space="preserve"> 37/161 หมู่บ้านเลิศอุบล 4 ซ.นาคนิวาส 48 แขวงลาดพร้าว เขตลาดพร้าว กรุงเทพฯ 10230</t>
  </si>
  <si>
    <t xml:space="preserve"> รอง ผอ.บวรลักษณ์ มะวิญธร</t>
  </si>
  <si>
    <t>08 1496 8282</t>
  </si>
  <si>
    <t xml:space="preserve"> 521/233 ถ.หทัยราษฎร์ แขวงสามวาตะวันออก เขตคลองสามวา กรุงเทพฯ 10510</t>
  </si>
  <si>
    <t xml:space="preserve"> รอง ผอ.บุญญาลักษณ์ บริบูรณ์</t>
  </si>
  <si>
    <t>0 2815 8045 / 08 6568 8049</t>
  </si>
  <si>
    <t xml:space="preserve"> 47/406 ม.5 หมู่บ้านวรารมย์ ซ.16 ถ.ประชาอุทิศ แขวงทุ่งครุ เขตทุ่งครุ กรุงเทพฯ 10140</t>
  </si>
  <si>
    <t xml:space="preserve"> อ.บุญนาค บุญพามี</t>
  </si>
  <si>
    <t>0 2747 7424 / 08 9256 6561 / 0 3229 5145</t>
  </si>
  <si>
    <t xml:space="preserve"> 15 (59/90) ซ.อุดมสุข 15 ถ.อุดมสุข (สุขุมวิท 103) แขวงบางนา เขตบางนา กรุงเทพฯ 10260</t>
  </si>
  <si>
    <t xml:space="preserve"> อ.บุญย์ทิพย์ ชมพูพงษ์เกษม</t>
  </si>
  <si>
    <t>0 2743 7046 / 08 5112 0190</t>
  </si>
  <si>
    <t xml:space="preserve"> 33 รัตนทิพย์อพาร์ทเม้นท์ ซ.อุดมสุข 18 แขวงบางนาเหนือ เขตบางนา กรุงเทพฯ 10260</t>
  </si>
  <si>
    <t xml:space="preserve"> อ.บุบผา ไล้รักษา</t>
  </si>
  <si>
    <t>0 2579 2605 / 08 9414 4991</t>
  </si>
  <si>
    <t xml:space="preserve"> 165 ซอยมงคลนิเวศน์ ถ.วิภาวดี-รังสิต แขวงลาดยาว เขตจตุจักร กรุงเทพฯ 10900</t>
  </si>
  <si>
    <t xml:space="preserve"> ผอ.ปฏิเวธ พึ่งอุบล</t>
  </si>
  <si>
    <t>0 2525 2788 / 08 1886 2426</t>
  </si>
  <si>
    <t xml:space="preserve"> 444 ซอยซิตี้โฮม ถ.รัตนาธิเบศร์ ต.บางกระสอ อ.เมือง จ.นนทบุรี 11000</t>
  </si>
  <si>
    <t xml:space="preserve"> อ.ประภัสสร ธีรการุณวงศ์</t>
  </si>
  <si>
    <t>0 2392 3416 / 09 3495 5414</t>
  </si>
  <si>
    <t xml:space="preserve"> 123/33 ถ.ประชาชื่น แขวงบางซื่อ เขตดุสิต กรุงเทพฯ 10800</t>
  </si>
  <si>
    <t xml:space="preserve"> อ.ประภาพรรณ เบญจรัตนาภรณ์</t>
  </si>
  <si>
    <t>08 9140 0381</t>
  </si>
  <si>
    <t xml:space="preserve"> 146 ซอยอ่อนนุช 70 แยก 3 ถ.สุขุมวิท 77 แขวงประเวศ เขตประเวศ กรุงเทพฯ 10250</t>
  </si>
  <si>
    <t xml:space="preserve"> อ.ประศักดิ์ ปฐมกสิกุล</t>
  </si>
  <si>
    <t>0 2178 1252 / 08 1274 3900</t>
  </si>
  <si>
    <t xml:space="preserve"> 128/196 หมู่บ้านโกลเด้นนัครา อ่อนนุช 65 แขวงประเวศ เขตประเวศ กรุงเทพฯ 10250</t>
  </si>
  <si>
    <t xml:space="preserve"> อ.ประเสริฐ อินทร์แก้ว</t>
  </si>
  <si>
    <t>0 2391 2939 / 08 4160 4764</t>
  </si>
  <si>
    <t xml:space="preserve"> 301/65 ซอยปรีดีพนมยงค์ 42 ถ.สุขุมวิท 71 แขวงคลองตันเหนือ เขตวัฒนา กรุงเทพฯ 10110</t>
  </si>
  <si>
    <t xml:space="preserve"> อ.ปิยะนาถ หวังภักดี</t>
  </si>
  <si>
    <t>08 1407 0390</t>
  </si>
  <si>
    <t xml:space="preserve"> 444 ซอยพัฒนาการ 20 แขวงสวนหลวง เขตสวนหลวง กรุงเทพฯ 10250</t>
  </si>
  <si>
    <t xml:space="preserve"> อ.ผาณิต ธวัชชัยนันท์</t>
  </si>
  <si>
    <t>0 2215 6136</t>
  </si>
  <si>
    <t xml:space="preserve"> 229/3 ซอยวิทยาลัยครูเพชรบุรี ถ.เพชรบุรี แขวงพญาไท เขตพญาไท กรุงเทพฯ 10400</t>
  </si>
  <si>
    <t xml:space="preserve"> อ.พรทิพย์ อุคคกิมาพันธุ์</t>
  </si>
  <si>
    <t>0 2396 0377 / 08 9897 4432</t>
  </si>
  <si>
    <t xml:space="preserve"> 73 (59/119) ซ.อุดมสุข 15 ถ.สุขุมวิท 103 แขวงบางนาเหนือ เขตบางนา กรุงเทพฯ 10260</t>
  </si>
  <si>
    <t xml:space="preserve"> อ.พรพรรณ วัฒนสุขชัย</t>
  </si>
  <si>
    <t>0 2747 9565 / 08 6572 8664</t>
  </si>
  <si>
    <t xml:space="preserve"> 18 สุขุมวิท 101/1 ซ.วชิรธรรมสาธิต 22 แขวงบางนา เขตบางนา กรุงเทพฯ 10260</t>
  </si>
  <si>
    <t xml:space="preserve"> อ.พรพิมล สิงห์อำพล</t>
  </si>
  <si>
    <t>06 4362 0899</t>
  </si>
  <si>
    <t xml:space="preserve"> 33 หมู่ 2 ต.ป่าเลา อ.เมือง จ.เพชรบูรณ์ 67000</t>
  </si>
  <si>
    <t xml:space="preserve"> อ.พรรณี อินทะแสง</t>
  </si>
  <si>
    <t xml:space="preserve"> อ.พะจิต ตามประทีป</t>
  </si>
  <si>
    <t>08 6785 5076</t>
  </si>
  <si>
    <t>0 2376 3272 / 08 9829 9301</t>
  </si>
  <si>
    <t xml:space="preserve"> 70 หมู่บ้านรวิภา ซ.อุดมสุข 39/1 ถ.สุขุมวิท 103 แขวงบางจาก เขตพระโขนง กรุงเทพฯ 10260</t>
  </si>
  <si>
    <t xml:space="preserve"> 324/20 หมู่บ้านเดชา 2 ซ.รามคำแหง 78 ถ.สุขาภิบาล 3 แขวงหัวหมาก เขตบางกะปิ กรุงเทพฯ 10240</t>
  </si>
  <si>
    <t xml:space="preserve"> อ.พัชรินทร์ รัตนกังวานวงศ์</t>
  </si>
  <si>
    <t>08 7024 7130</t>
  </si>
  <si>
    <t xml:space="preserve"> 450/191 หมู่ 1 ซ.มังกร-ขันดี ต.แพรกษาใหม่ อ.เมือง จ.สมุทรปราการ 10280</t>
  </si>
  <si>
    <t xml:space="preserve"> อ.พาณี ล้ออุทัย</t>
  </si>
  <si>
    <t>0 2394 2032 / 08 5324 2458</t>
  </si>
  <si>
    <t xml:space="preserve"> 15/473 หมู่ 10 ต.สำโรงเหนือ อ.เมือง จ.สมุทรปราการ 10270</t>
  </si>
  <si>
    <t xml:space="preserve"> อ.พิชัย ทองประยูร</t>
  </si>
  <si>
    <t>0 3226 1605 / 08 3177 2160</t>
  </si>
  <si>
    <t xml:space="preserve"> 124/3 หมู่ 2 ต.จอมบึง อ.จอมบึง จ.ราชบุรี 70150</t>
  </si>
  <si>
    <t xml:space="preserve"> ผอ.พิพัฒน์ บุญญาสัย</t>
  </si>
  <si>
    <t>0 2433 6299 / 0 2435 5589 / 08 6944 9534</t>
  </si>
  <si>
    <t xml:space="preserve"> อ.เพียงภรณ์ หิรัญวงศ์</t>
  </si>
  <si>
    <t>0 2337 4917 / 06 1954 7969 / 09 5054 1597</t>
  </si>
  <si>
    <t xml:space="preserve"> 43 แยก 27 ม.ทุ่งเศรษฐี ถ.บางนา-ตราด แขวงดอกไม้ เขตประเวศ กรุงเทพฯ 10250</t>
  </si>
  <si>
    <t xml:space="preserve"> ผอ.ไพโรจน์ ปวะบุตร</t>
  </si>
  <si>
    <t>08 1879 9528</t>
  </si>
  <si>
    <t xml:space="preserve"> 49/1 หมู่ 1 บ้านทุ่งปริญญา ต.ขุหลุ อ.ตระการพืชผล จ.อุบลราชธานี 34130</t>
  </si>
  <si>
    <t xml:space="preserve"> อ.เฟื่องยศ สายเพ็ชร</t>
  </si>
  <si>
    <t>08 7530 9735</t>
  </si>
  <si>
    <t xml:space="preserve"> 244 ถ.สรรพาวุธ แขวงบางนา เขตบางนา กรุงเทพฯ 10260</t>
  </si>
  <si>
    <t xml:space="preserve"> อ.มรรยาท วิทยามณีกร</t>
  </si>
  <si>
    <t>08 9765 0409</t>
  </si>
  <si>
    <t xml:space="preserve"> 89 ม.7 (Royal Golf) ต.ศีรษะจระเข้น้อย อ.บางเสาธง จ.สมุทรปราการ 10540</t>
  </si>
  <si>
    <t xml:space="preserve"> ผอ.มาลี ตรีทศายุธ</t>
  </si>
  <si>
    <t>0 2509 4354 / 08 9492 4855</t>
  </si>
  <si>
    <t xml:space="preserve"> 51/424 หมู่บ้านเสนา 88 ซอย 5 ซ.นวลจันทร์ 17 ถ.นวลจันทร์ แขวงคลองกุ่ม เขตบึงกุ่ม กรุงเทพฯ 10230</t>
  </si>
  <si>
    <t xml:space="preserve"> อ.มาลี ธนะนันท์กูล</t>
  </si>
  <si>
    <t xml:space="preserve"> 394 ซ.ปรีดีพนมยงค์ 42 แยก 6 ถ.สุขุมวิท 71 แขวงคลองตัน เขตวัฒนา กรุงเทพฯ 10110</t>
  </si>
  <si>
    <t xml:space="preserve"> อ.ยาใจ วิศิษฐ์ศิริกุล</t>
  </si>
  <si>
    <t>0 2394 5598 / 08 9103 0260</t>
  </si>
  <si>
    <t xml:space="preserve"> 80/809 ซ.ทิพวัล 55 ถ.เทพารักษ์ ต.บางเมืองใหม่ อ.เมือง จ.สมุทรปราการ 10270</t>
  </si>
  <si>
    <t xml:space="preserve"> อ.ยุพดี พิษณุไวศยวาท</t>
  </si>
  <si>
    <t>08 7595 5231</t>
  </si>
  <si>
    <t xml:space="preserve"> 44/13 ถ.บ้านปากแรต 4 อ.บ้านโป่ง จ.ราชบุรี 70110</t>
  </si>
  <si>
    <t xml:space="preserve"> อ.รัชนี พิทักษ์อรรณพ</t>
  </si>
  <si>
    <t>0 2393 1126 / 08 1313 8464</t>
  </si>
  <si>
    <t xml:space="preserve"> 68 หมู่บ้านเคหะนคร 1 ซ.เฉลิมพระเกียรติ 22 แยก 14 ถ.เฉลิมพระเกียรติ ร.9 แขวงหนองบอน เขตประเวศ กรุงเทพฯ 10250</t>
  </si>
  <si>
    <t xml:space="preserve"> อ.รัตนาวรรณ เจริญเสียง</t>
  </si>
  <si>
    <t>08 9110 0905</t>
  </si>
  <si>
    <t xml:space="preserve"> 1/20 ถ.สุขาภิบาล 5 ซ.67 แขวงออเงิน เขตสายไหม กรุงเทพฯ 10220</t>
  </si>
  <si>
    <t xml:space="preserve"> อ.เรวดี ปราเมศร์</t>
  </si>
  <si>
    <t>0 2398 7822 / 08 2859 8059 (บุ๋ม ลูกสาว)</t>
  </si>
  <si>
    <t xml:space="preserve"> 30/11 ถ.อุดมสุข 26 แขวงบางนา เขตบางนา กรุงเทพฯ 10260</t>
  </si>
  <si>
    <t xml:space="preserve"> อ.ลาภวารินทร์ บริสุทธิ์ธรรม</t>
  </si>
  <si>
    <t>09 1264 1519</t>
  </si>
  <si>
    <t xml:space="preserve"> 9/121 หมู่บ้านเดอะเซนโทร หมู่ 8 ซ.วัดด่านสำโรง ต.สำโรงเหนือ จ.สมุทรปราการ 10270</t>
  </si>
  <si>
    <t xml:space="preserve"> อ.ลาวัณย์ อมรประเสริฐศรี</t>
  </si>
  <si>
    <t>08 3904 2116</t>
  </si>
  <si>
    <t xml:space="preserve"> 144/104 หมู่บ้านพูนสุข ซอย 5/1 ถ.บางนา-ตราด ต.บางโฉลง อ.บางพลี จ.สมุทรปราการ 10540</t>
  </si>
  <si>
    <t xml:space="preserve"> อ.วธู พันธุศิริ</t>
  </si>
  <si>
    <t>0 2393 9304 / 08 1423 7979</t>
  </si>
  <si>
    <t xml:space="preserve"> 492 หมู่บ้านเคหะนคร 1 ซอย 22 ถ.เฉลิมพระเกียรติ ร.9 แขวงหนองบอน เขตประเวศ กรุงเทพฯ 10250</t>
  </si>
  <si>
    <t xml:space="preserve"> อ.วนิดา พานิช</t>
  </si>
  <si>
    <t>0 2361 0513 / 08 9966 0563</t>
  </si>
  <si>
    <t xml:space="preserve"> 223 ซ.22 ถ.เฉลิมพระเกียรติ ร.9 แขวงหนองบอน เขตประเวศ กรุงเทพฯ 10250</t>
  </si>
  <si>
    <t xml:space="preserve"> อ.วราพร แซ่เฮ้ง</t>
  </si>
  <si>
    <t>09 3859 0268</t>
  </si>
  <si>
    <t xml:space="preserve"> 93/12 ซ.สาธุประดิษฐ์ 34 ถ.สาธุประดิษฐ์ แขวงบางโพงพาง เขตยานนาวา กรุงเทพฯ 10120</t>
  </si>
  <si>
    <t xml:space="preserve"> อ.วัฒนา พุ่มจันทร์</t>
  </si>
  <si>
    <t>08 9781 3373</t>
  </si>
  <si>
    <t xml:space="preserve"> 21 ซ.เฉลิมพระเกียรติ ร.9 ซอย 22 แยก 12-1-1 แขวงหนองบอน เขตประเวศ กรุงเทพฯ 10250</t>
  </si>
  <si>
    <t xml:space="preserve"> อ.วัธนีย์วรรณ มัทยากร</t>
  </si>
  <si>
    <t>0 2393 5665 / 08 3295 5273</t>
  </si>
  <si>
    <t xml:space="preserve"> 16/69 ซ.สุขุมวิท 68 (โสภณ) ถ.สุขุมวิท บางนา กรุงเทพฯ 10260</t>
  </si>
  <si>
    <t xml:space="preserve"> อ.วิชัย ศรีสุมาลย์</t>
  </si>
  <si>
    <t xml:space="preserve"> 726 ม.6 ซ.แบริ่ง 48 ถ.สุขุมวิท 107 ต.สำโรงเหนือ อ.เมือง จ.สมุทรปราการ 10270</t>
  </si>
  <si>
    <t xml:space="preserve"> ผอ.วิเชิด ผาสุก</t>
  </si>
  <si>
    <t>09 5718 7505</t>
  </si>
  <si>
    <t xml:space="preserve"> 116/2 หมู่ 18 ต.ท่าตะเกียบ อ.ท่าตะเกียบ จ.ฉะเชิงเทรา 24160</t>
  </si>
  <si>
    <t xml:space="preserve"> รอง ผอ.วิทยา ปัญญาดี</t>
  </si>
  <si>
    <t>14/10/1495</t>
  </si>
  <si>
    <t>0 2876 5083 / 08 1906 9150</t>
  </si>
  <si>
    <t xml:space="preserve"> 95 ซอยตากสิน 24 ถ.ตากสิน เขตธนบุรี กรุงเทพฯ 10600</t>
  </si>
  <si>
    <t xml:space="preserve"> อ.วิทยา สุขันทอง</t>
  </si>
  <si>
    <t>08 2582 8339</t>
  </si>
  <si>
    <t xml:space="preserve"> 5 ซ.ลาดพร้าว 79 ถ.ลาดพร้าว วังทองหลาง กรุงเทพฯ 10130</t>
  </si>
  <si>
    <t xml:space="preserve"> อ.วิไล นครสุวรรณ</t>
  </si>
  <si>
    <t xml:space="preserve"> อ.วิไลวรรณ เอกพานิช</t>
  </si>
  <si>
    <t xml:space="preserve"> อ.วิน หนูบุตร</t>
  </si>
  <si>
    <t>08 1854 4754</t>
  </si>
  <si>
    <t xml:space="preserve"> 76/134 นิรันดร์เรสซิเดนท์ 3 ซ.มหาวิทยาลัยรามคำแหง 2 แขวงดอกไม้ เขตประเวศ กรุงเทพฯ 10250</t>
  </si>
  <si>
    <t>08 6334 8271</t>
  </si>
  <si>
    <t xml:space="preserve"> 26/417 พหลโยธิน 64 ถ.พหลโยธิน เขตสายไหม กรุงเทพฯ 10220</t>
  </si>
  <si>
    <t>08 9005 8144</t>
  </si>
  <si>
    <t xml:space="preserve"> 18/68 ซ.16 ถ.สวัสดิการ 2 แขวงหนองแขม เขตหนองแขม กรุงเทพฯ 10160</t>
  </si>
  <si>
    <t xml:space="preserve"> อ.วีนา ขจีจิตร์</t>
  </si>
  <si>
    <t>08 6588 5303</t>
  </si>
  <si>
    <t xml:space="preserve"> 320 ม.6 ซ.อ่อนนุช 44 ถ.อ่อนนุช สวนกลวง กรุงเทพฯ 10250</t>
  </si>
  <si>
    <t xml:space="preserve"> อ.เวก ศิริพิมลวาทิน</t>
  </si>
  <si>
    <t>0 2393 5354 / 08 6096 2166</t>
  </si>
  <si>
    <t xml:space="preserve"> 18/94 ซ.46 ถ.บางนา-ตราด บางนา กรุงเทพฯ 10260</t>
  </si>
  <si>
    <t xml:space="preserve"> อ.ศรีเงิน แพสุพัฒน์</t>
  </si>
  <si>
    <t>0 2399 2021 / 08 1383 7785</t>
  </si>
  <si>
    <t xml:space="preserve"> 45 อาคารพาณิชย์ ซ.46 ถ.บางนา-ตราด แขวงบางนา เขตบางนา กรุงเทพฯ 10260</t>
  </si>
  <si>
    <t xml:space="preserve"> อ.ศิริวรรณ อังกุรวสพร</t>
  </si>
  <si>
    <t>0 2462 7136 / 08 3052 4338</t>
  </si>
  <si>
    <t xml:space="preserve"> 200/3 ถ.นครเขื่อนขันธ์ ต.บางผึ้ง อ.พระประแดง จ.สมุทรปราการ 10130</t>
  </si>
  <si>
    <t xml:space="preserve"> อ.ส่งศรี ภักดีรัตน์</t>
  </si>
  <si>
    <t>0 2396 1903 / 08 1694 0064</t>
  </si>
  <si>
    <t xml:space="preserve"> 21/561 ซ.บางนา-ตราด 12 (ถาวรนิเวศ 2 ซอย 10) ถ.บางนา-ตราด เขตบางนา กรุงเทพฯ 10260</t>
  </si>
  <si>
    <t xml:space="preserve"> อ.สมใจ เดือนฉาย</t>
  </si>
  <si>
    <t>0 2398 8787 / 08 6776 9306</t>
  </si>
  <si>
    <t xml:space="preserve"> อ.สมชาย งามวงศ์ชน</t>
  </si>
  <si>
    <t xml:space="preserve"> อ.สมนึก คูณผล</t>
  </si>
  <si>
    <t xml:space="preserve"> ผอ.สมนึก แตงสกุล</t>
  </si>
  <si>
    <t xml:space="preserve"> อ.สมปอง รอดดอน</t>
  </si>
  <si>
    <t xml:space="preserve"> อ.สมปอง สุขเอี่ยม</t>
  </si>
  <si>
    <t>0 2361 5777 / 08 1646 4946</t>
  </si>
  <si>
    <t>08 1449 2222</t>
  </si>
  <si>
    <t xml:space="preserve"> 58/95 ม.มณีรินทร์ บางคูวัด อ.เมือง จ.ปทุมธานี</t>
  </si>
  <si>
    <t>0 2748 1814 / 08 9692 1009</t>
  </si>
  <si>
    <t xml:space="preserve"> 31 (218) ซ.9 แยก 2 ถ.เฉลิมพระเกียรติ ร.9 แขวงหนองบอน เขตประเวศ กรุงเทพฯ 10250</t>
  </si>
  <si>
    <t xml:space="preserve"> 5/1 ม.8 ซ.เทศบาล 1 ถ.พิบูลย์สงคราม ต.สวนใหญ่ อ.เมือง จ.นนทบุรี 11000</t>
  </si>
  <si>
    <t>0 2451 6263</t>
  </si>
  <si>
    <t xml:space="preserve"> 6/32 ซ.สะแกงาม 10 (รุ่งทิวา) เขตบางขุนเทียน กรุงเทพฯ 10150</t>
  </si>
  <si>
    <t>0 2447 8246 / 09 8424 9801</t>
  </si>
  <si>
    <t xml:space="preserve"> 92/6 หมู่บ้านสุชาวาลัย ม.5 ถ.สุขาภิบาล 1 ต.บางศรีเมือง อ.เมือง จ.นนทบุรี</t>
  </si>
  <si>
    <t xml:space="preserve"> อ.สมภูมิ ศรีบุญงาม</t>
  </si>
  <si>
    <t xml:space="preserve"> อ.สังวาลย์ สันติเพชร</t>
  </si>
  <si>
    <t xml:space="preserve"> ผอ.สำลี บุษสาย</t>
  </si>
  <si>
    <t xml:space="preserve"> อ.สินี วิจารณ์</t>
  </si>
  <si>
    <t xml:space="preserve"> อ.สุจินดา นิลคง</t>
  </si>
  <si>
    <t xml:space="preserve"> อ.สุจินต์ คุปรัตน์</t>
  </si>
  <si>
    <t>08 1267 5169</t>
  </si>
  <si>
    <t xml:space="preserve"> 7/95 ซ.บุญศิริ ถ.สุขุมวิท ต.บางเมือง อ.เมือง จ.สมุทรปราการ 10270</t>
  </si>
  <si>
    <t>0 2951 2896 / 06 2521 7910 / 0 3576 0251</t>
  </si>
  <si>
    <t xml:space="preserve"> 120 ซ.ติวานนท์ 41 แขวงท่าทราย อ.เมือง จ.นนทบุรี 11000</t>
  </si>
  <si>
    <t>0 2241 1453</t>
  </si>
  <si>
    <t xml:space="preserve"> 1418/16 ถ.นครชัยศรี เขตดุสิต กรุงเทพฯ 10300</t>
  </si>
  <si>
    <t>0 2398 5327 / 09 5735 9696</t>
  </si>
  <si>
    <t xml:space="preserve"> 1038 ซ.สุขุมวิท 107 (แบริ่ง 34) ม.2 ถ.สุขุมวิท ต.สำโรงเหนือ อ.เมือง จ.สมุทรปราการ 10270</t>
  </si>
  <si>
    <t>08 6063 2851</t>
  </si>
  <si>
    <t xml:space="preserve"> 4/558 ถ.เสรีไทย 57 แขวงคลองกุ่ม เขตบึงกุ่ม กรุงเทพฯ 10240</t>
  </si>
  <si>
    <t>0 2940 9730 / 08 1348 4440</t>
  </si>
  <si>
    <t xml:space="preserve"> 32/9 แยก 2 ซ.วิภาวดี 58 ถ.วิภาวดี แขวงตลาดบางเขน เขตหลักสี่ กรุงเทพฯ 10210</t>
  </si>
  <si>
    <t xml:space="preserve"> อ.สุชิน ตัญธนาวิทย์</t>
  </si>
  <si>
    <t xml:space="preserve"> อ.สุดาทิพ แดงค้ำคุณ</t>
  </si>
  <si>
    <t xml:space="preserve"> อ.สุทัศน์ ลีลาวุฒิกูลรังสี</t>
  </si>
  <si>
    <t xml:space="preserve"> อ.สุนันทา นันทมนตรี</t>
  </si>
  <si>
    <t xml:space="preserve"> อ.สุนี ครุฑพันธุ์</t>
  </si>
  <si>
    <t xml:space="preserve"> อ.สุพัฒน์เสฏฐ์ พสุธาธรรม</t>
  </si>
  <si>
    <t>0 2424 8987 / 08 5166 7080</t>
  </si>
  <si>
    <t>08 5920 8182</t>
  </si>
  <si>
    <t>0 2286 0446 / 08 1615 1841</t>
  </si>
  <si>
    <t>08 9154 3836</t>
  </si>
  <si>
    <t>0 2377 7523 / 0 2375 9052 / 09 4912 1224</t>
  </si>
  <si>
    <t>0 2398 6268</t>
  </si>
  <si>
    <t xml:space="preserve"> 30 ซอย 59 ถ.จรัญสนิทวงศ์ เขตบางกอกน้อย กรุงเทพฯ 10700</t>
  </si>
  <si>
    <t xml:space="preserve"> 99/600 ซอย B 4 หมู่บ้านเอโทลมัลดีฟส์บีช ม.2 ถ.หนามแดง-บางพลี ต.บางพลีใหญ่ อ.บางพลี จ.สมุทรปราการ 10540</t>
  </si>
  <si>
    <t xml:space="preserve"> 90 ถ.นราธิวาสราชนครินทร์ ซอย 6 แขวงสาทร เขตสาทร กรุงเทพฯ 10120</t>
  </si>
  <si>
    <t xml:space="preserve"> 229/181 ซ.ร่มเกล้า 15 แขวงแสนแสบ เขตมีนบุรี กรุงเทพฯ 10510</t>
  </si>
  <si>
    <t xml:space="preserve"> 622 ซอย 24 (การเคหะ) ถ.นวมินทร์ 12 แขวงคลองจั่น เขตบางกะปิ กรุงเทพฯ 10240</t>
  </si>
  <si>
    <t xml:space="preserve"> 112/160 ซอย 46 ถ.บางนา-ตราด แขวงบางนา เขตบางนา กรุงเทพฯ 10260</t>
  </si>
  <si>
    <t xml:space="preserve"> อ.สุภางค์พรรณ พงศ์สุวรรณ</t>
  </si>
  <si>
    <t xml:space="preserve"> พลอาการศตรีสุรพันธ์ ทองคำเภา </t>
  </si>
  <si>
    <t>ตุ๋ย</t>
  </si>
  <si>
    <t xml:space="preserve"> อ.สุรัตน์ ภู่พงศ์สกุล</t>
  </si>
  <si>
    <t xml:space="preserve"> ผอ.สุวิทย์ชัย ชมพูพงษ์เกษม</t>
  </si>
  <si>
    <t xml:space="preserve"> ผอ.เสมอ เหมพงศ์พันธุ์</t>
  </si>
  <si>
    <t xml:space="preserve"> อ.อนุจิตร จอนจำรัส</t>
  </si>
  <si>
    <t>0 2361 7454 / 08 4005 7535</t>
  </si>
  <si>
    <t>0 2538 4774 / 08 1988 3270</t>
  </si>
  <si>
    <t>08 9220 3544</t>
  </si>
  <si>
    <t>0 2743 7046 / 08 5022 2809</t>
  </si>
  <si>
    <t>0 2396 0599 / 08 1629 3838</t>
  </si>
  <si>
    <t>0 2411 2731 / 08 9201 1446</t>
  </si>
  <si>
    <t xml:space="preserve"> 1558 หมู่บ้านไพโรจน์ โครงการ 5 ซอย 3 ถ.บางนา-ตราด 27 เขตบางนา กรุงเทพฯ 10260</t>
  </si>
  <si>
    <t xml:space="preserve"> 1263 ไทยศิริพิเศษ ลาดพร้าว 94 แขวงพลับพลา เขตวังทองหลาง กรุงเทพฯ 10310</t>
  </si>
  <si>
    <t xml:space="preserve"> 70 ซ.สาทร 15 ถ.สาทรใต้ แขวงยานนาวา เขตสาทร กรุงเทพฯ 10120</t>
  </si>
  <si>
    <t xml:space="preserve"> 33 รัตนทิพย์ อพาร์ทเม้นท์ ซ.อุดมสุข 18 แขวงบางนาเหนือ เขตบางนา กรุงเทพฯ 10260</t>
  </si>
  <si>
    <t xml:space="preserve"> 213 หมู่บ้านไพโรจน์ ถ.บางนา-ตราด บางนา กรุงเทพฯ 10260</t>
  </si>
  <si>
    <t xml:space="preserve"> 177 ซ.จรัญสนิทวงศ์ 27 ถ.จรัญสนิทวงศ์ แขวงบางขุนศรี เขตบางกอกน้อย กรุงเทพฯ 10700</t>
  </si>
  <si>
    <t xml:space="preserve"> อ.อรุณี รัตนวิจารณ์</t>
  </si>
  <si>
    <t xml:space="preserve"> อ.อังคณา กรรณสูต</t>
  </si>
  <si>
    <t xml:space="preserve"> อ.อังคณา สุนทรสีมะ</t>
  </si>
  <si>
    <t xml:space="preserve"> อ.อัจฉรา พงศ์บุญชู</t>
  </si>
  <si>
    <t xml:space="preserve"> อ.อัชฌาดา พุทธบูชา</t>
  </si>
  <si>
    <t xml:space="preserve"> อ.อารีย์ ลิ่มทอง</t>
  </si>
  <si>
    <t>0 2377 7952 / 08 1859 1540</t>
  </si>
  <si>
    <t>08 6705 9735</t>
  </si>
  <si>
    <t>0 2745 2953 / 08 7910 4497</t>
  </si>
  <si>
    <t>08 6978 6464</t>
  </si>
  <si>
    <t>0 2399 2092 / 08 2793 5665</t>
  </si>
  <si>
    <t>08 1702 4081</t>
  </si>
  <si>
    <t xml:space="preserve"> 80 ซ.รามคำแหง 46 ถ.รามคำแหง แขวงหัวหมาก เขตบางกะปิ กรุงเทพฯ 10240</t>
  </si>
  <si>
    <t xml:space="preserve"> 86 ซ.พึ่งมี 9 แยก 2 ถ.สุขุมวิท 93 บางจาก พระโขนง กรุงเทพฯ 10260</t>
  </si>
  <si>
    <t xml:space="preserve"> 160/25 ซ.จ่าโสด หมู่บ้านชวนชม ถ.สรรพาวุธ แขวงบางนา เขตบางนา กรุงเทพฯ 10260</t>
  </si>
  <si>
    <t xml:space="preserve"> 55 ถ.แปลงนาม แขวงสัมพันธวงศ์ เขตสัมพันธวงศ์ กรุงเทพฯ 10100</t>
  </si>
  <si>
    <t xml:space="preserve"> 2 ซ.บางนาตราด 10 ถ.บางนา-ตราด เขตบางนา กรุงเทพฯ 10260</t>
  </si>
  <si>
    <t xml:space="preserve"> 69/78 ซ.ราชพฤกษ์ 9 แขวงบางเชือกหนัง เขตตลิ่งชัน กรุงเทพฯ 10170</t>
  </si>
  <si>
    <t xml:space="preserve"> อ.อิงพร พุ่มดอกไม้</t>
  </si>
  <si>
    <t xml:space="preserve"> อ.อุทัยวรรณ สุประดิษฐ์</t>
  </si>
  <si>
    <t>0 2192 5753 / 08 1346 1478</t>
  </si>
  <si>
    <t xml:space="preserve"> 99/53 หมู่บ้านคาซ่าวิล ถ.สุขาภิบาล 5 แขวงออเงิน เขตสายไหม กรุงเทพฯ 10220</t>
  </si>
  <si>
    <t xml:space="preserve"> ผอ.ประเสริฐ จันโททัย</t>
  </si>
  <si>
    <t>08 1809 7983</t>
  </si>
  <si>
    <t xml:space="preserve"> 259/521 ถ.คู้บอน ซ.27 แยก 60 แขวงท่าแร้ง เขตบางเขน กรุงเทพฯ </t>
  </si>
  <si>
    <t xml:space="preserve"> อ.ปริศนา ภู่รอด</t>
  </si>
  <si>
    <t>0 2413 4621 / 08 6015 3001</t>
  </si>
  <si>
    <t xml:space="preserve"> 3 ซ.เพชรเกษม 68 แยก 5 ถ.เพชรเกษม แขวงบางแคเหนือ เขตบางแค กรุงเทพฯ</t>
  </si>
  <si>
    <t xml:space="preserve"> อ.นิสา ถาวรรุ่งกิจ</t>
  </si>
  <si>
    <t>08 1644 9043</t>
  </si>
  <si>
    <t xml:space="preserve"> 314 ม.1 ต.ห้วยกาบ อ.บ้านโฮ่ง จ.ลำพูน</t>
  </si>
  <si>
    <t xml:space="preserve"> อ.สุรีย์ ศรีมงคล</t>
  </si>
  <si>
    <t>08 9690 9625</t>
  </si>
  <si>
    <t xml:space="preserve"> 6/120 หมู่บ้านบางกอกบูเลอวาร์ดพระรามเก้า ศรีนครินทร์ ถ.กรุงเทพกรีฑา แขวงทับช้าง เขตสะพานสูง กรุงเทพฯ</t>
  </si>
  <si>
    <t>0 2393 2658 / 06 3467 7499</t>
  </si>
  <si>
    <t xml:space="preserve"> 112/1616 แฟลต 10 ชั้น 2 การเคหะบางนา ถ.บางนา-ตราด กม.4 เขตพระโขนง กรุงเทพฯ 10260</t>
  </si>
  <si>
    <t xml:space="preserve"> อ.อัญชลี เลาหเลิศชัย</t>
  </si>
  <si>
    <t>08 9112 0692</t>
  </si>
  <si>
    <t xml:space="preserve"> 29/1 หมู่บ้านธนาคารกรุงเทพ ถ.เฉลิมพระเกียรติ ร.9 ซ.9 แขวงหนองบอน เขตประเวศ กรุงเทพฯ 10250</t>
  </si>
  <si>
    <t xml:space="preserve"> อ.พูลสุข พงศ์สิฏานนท์</t>
  </si>
  <si>
    <t>06 1614 5532</t>
  </si>
  <si>
    <t xml:space="preserve"> 73 ซ.ลาดพร้าววังหิน 80 ถ.ลาดพร้าววังหิน แขวงลาดพร้าว เขตลาดพร้าว กรุงเทพฯ 10230</t>
  </si>
  <si>
    <t xml:space="preserve"> อ.ช่อ ณัฐปภัชญา</t>
  </si>
  <si>
    <t>06 1714 3663</t>
  </si>
  <si>
    <t xml:space="preserve"> 42 ม.1 ต.น้ำเกี๋ยน อ.ภูเพียง จ.น่าน 55000</t>
  </si>
  <si>
    <t xml:space="preserve"> อ.ทศพร พูลเจริญ</t>
  </si>
  <si>
    <t>08 7797 5990</t>
  </si>
  <si>
    <t xml:space="preserve"> 109/140 ม.1 หมู่บ้านโมดิ-วิลล่า ต.คลองหลวงแพ่ง อ.เมือง จ.ฉะเชิงเทรา 24000</t>
  </si>
  <si>
    <t xml:space="preserve"> อ.เพ็ญนภา จิตรสิริบูรณ์</t>
  </si>
  <si>
    <t>08 6098 1313</t>
  </si>
  <si>
    <t xml:space="preserve"> 8/35 ซ.ลาดพร้าว 23 ถ.ลาดพร้าว แขวงจันทรเกษม เขตจตุจักร กรุงเทพฯ 10900</t>
  </si>
  <si>
    <t xml:space="preserve"> อ.วันรัก วงศ์แก้ว</t>
  </si>
  <si>
    <t>08 2982 5929</t>
  </si>
  <si>
    <t xml:space="preserve"> 50 หมู่บ้านนภาลัย ซ.6 ถ.สุขุมวิท 70/3 แขวงบางนา เขตบางนา กรุงเทพฯ 10260</t>
  </si>
  <si>
    <t xml:space="preserve"> อ.รจนา พูลป้อม</t>
  </si>
  <si>
    <t xml:space="preserve"> 222/796 หมู่ 9 หมู่บ้าน Villaggo Bangna ต.บางบ่อ อ.บางบ่อ จ.สมุทรปราการ 10560</t>
  </si>
  <si>
    <t xml:space="preserve"> 143 ซอย 63 (เศวตโยธิน) ถ.จรัญสนิทวงศ์ แขวงบางบำหรุ เขตบางพลัด กรุงเทพฯ 10700</t>
  </si>
  <si>
    <t>08 1261 7493 / 08 1667 3861</t>
  </si>
  <si>
    <t xml:space="preserve"> 99/64 ม.6 หมู่บ้านเด่นชัย บางเมือง ต.บางเมืองใหม่ อ.เมือง จ.สมุทรปราการ 10270</t>
  </si>
  <si>
    <t xml:space="preserve"> อ.เพ็ญจันทร์ มงคลกุล</t>
  </si>
  <si>
    <t>08 5130 8660</t>
  </si>
  <si>
    <t xml:space="preserve"> 52 ซ.สุขุมวิท 93 (พึ่งมี 1) แขวงบางจาก เขตพระโขนง กรุงเทพฯ 10260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</si>
  <si>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</si>
  <si>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</si>
  <si>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</si>
  <si>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</si>
  <si>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</si>
  <si>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</si>
  <si>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</si>
  <si>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</si>
  <si>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</si>
  <si>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</si>
  <si>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</si>
  <si>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</si>
  <si>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</si>
  <si>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</si>
  <si>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</si>
  <si>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</si>
  <si>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</si>
  <si>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</si>
  <si>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</si>
  <si>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</si>
  <si>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</si>
  <si>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</si>
  <si>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</si>
  <si>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</si>
  <si>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</si>
  <si>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</si>
  <si>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</si>
  <si>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</si>
  <si>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</si>
  <si>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</si>
  <si>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</si>
  <si>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</si>
  <si>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</si>
  <si>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</si>
  <si>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</si>
  <si>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</si>
  <si>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</si>
  <si>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</si>
  <si>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</si>
  <si>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</si>
  <si>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</si>
  <si>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</si>
  <si>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</si>
  <si>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</si>
  <si>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</si>
  <si>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</si>
  <si>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</si>
  <si>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</si>
  <si>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</si>
  <si>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</si>
  <si>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</si>
  <si>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</si>
  <si>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</si>
  <si>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</si>
  <si>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</si>
  <si>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</si>
  <si>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</si>
  <si>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</si>
  <si>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</si>
  <si>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</si>
  <si>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</si>
  <si>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</si>
  <si>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</si>
  <si>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</si>
  <si>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</si>
  <si>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</si>
  <si>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</si>
  <si>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</si>
  <si>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</si>
  <si>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</si>
  <si>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</si>
  <si>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</si>
  <si>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</si>
  <si>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</si>
  <si>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</si>
  <si>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</si>
  <si>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</si>
  <si>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</si>
  <si>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</si>
  <si>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</si>
  <si>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</si>
  <si>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</si>
  <si>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</si>
  <si>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</si>
  <si>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</si>
  <si>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</si>
  <si>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</si>
  <si>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</si>
  <si>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</si>
  <si>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</si>
  <si>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</si>
  <si>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</si>
  <si>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</si>
  <si>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</si>
  <si>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</si>
  <si>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</si>
  <si>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</si>
  <si>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</si>
  <si>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</si>
  <si>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</si>
  <si>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</si>
  <si>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</si>
  <si>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</si>
  <si>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</si>
  <si>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</si>
  <si>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</si>
  <si>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</si>
  <si>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</si>
  <si>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</si>
  <si>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</si>
  <si>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</si>
  <si>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</si>
  <si>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</si>
  <si>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</si>
  <si>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</si>
  <si>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</si>
  <si>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</si>
  <si>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</si>
  <si>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08 1634 5039</t>
  </si>
  <si>
    <t xml:space="preserve"> เสียชีวิต</t>
  </si>
  <si>
    <t xml:space="preserve"> อ.ชม ทองสุข</t>
  </si>
  <si>
    <t xml:space="preserve"> อ.ธีรวัฒน์ แย้มเพียร</t>
  </si>
  <si>
    <t xml:space="preserve"> รอง ผอ.บุญชัย รัตนกังวานวงศ์</t>
  </si>
  <si>
    <t xml:space="preserve"> อ.กิตติพัฒน์ สัมมาพาณิชกุล</t>
  </si>
  <si>
    <t>A0130</t>
  </si>
  <si>
    <t>A0131</t>
  </si>
  <si>
    <t>A0132</t>
  </si>
  <si>
    <t>A0133</t>
  </si>
  <si>
    <t xml:space="preserve"> อ.สุภาพ เถื่อนเมือง</t>
  </si>
  <si>
    <t xml:space="preserve"> อ.ประภาส ขวัญเรียง</t>
  </si>
  <si>
    <t>06 5091 6553</t>
  </si>
  <si>
    <t>A0134</t>
  </si>
  <si>
    <t>A0135</t>
  </si>
  <si>
    <t>06 2462 4888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</si>
</sst>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[$-1070000]d/mm/yyyy;@"/>
    <numFmt numFmtId="188" formatCode="d\ mmmm\ bbbb"/>
    <numFmt numFmtId="189" formatCode="d/m/bbbb"/>
    <numFmt numFmtId="190" formatCode="dd/mm/bb"/>
  </numFmts>
  <fonts count="44" x14ac:knownFonts="1">
    <font>
      <sz val="11"/>
      <color theme="1"/>
      <name val="Tahoma"/>
      <charset val="222"/>
      <scheme val="minor"/>
    </font>
    <font>
      <sz val="16"/>
      <color theme="1"/>
      <name val="AngsanaUPC"/>
      <family val="1"/>
    </font>
    <font>
      <sz val="24"/>
      <color rgb="FFFF0000"/>
      <name val="AngsanaUPC"/>
      <family val="1"/>
    </font>
    <font>
      <sz val="16"/>
      <color rgb="FFFF0000"/>
      <name val="AngsanaUPC"/>
      <family val="1"/>
    </font>
    <font>
      <sz val="18"/>
      <color rgb="FF0000FF"/>
      <name val="AngsanaUPC"/>
      <family val="1"/>
    </font>
    <font>
      <b/>
      <sz val="16"/>
      <color rgb="FFFF0000"/>
      <name val="AngsanaUPC"/>
      <family val="1"/>
    </font>
    <font>
      <b/>
      <sz val="14"/>
      <color rgb="FF0000FF"/>
      <name val="AngsanaUPC"/>
      <family val="1"/>
    </font>
    <font>
      <sz val="9"/>
      <color theme="1"/>
      <name val="Tahoma"/>
      <family val="2"/>
      <scheme val="minor"/>
    </font>
    <font>
      <sz val="9"/>
      <color rgb="FF0000FF"/>
      <name val="Tahoma"/>
      <family val="2"/>
      <scheme val="minor"/>
    </font>
    <font>
      <sz val="9"/>
      <color rgb="FFFF0000"/>
      <name val="Tahoma"/>
      <family val="2"/>
      <scheme val="minor"/>
    </font>
    <font>
      <sz val="8"/>
      <color theme="1"/>
      <name val="Tahoma"/>
      <family val="2"/>
      <scheme val="minor"/>
    </font>
    <font>
      <sz val="9"/>
      <color theme="1"/>
      <name val="AngsanaUPC"/>
      <family val="1"/>
    </font>
    <font>
      <sz val="9"/>
      <color theme="1"/>
      <name val="Calibri"/>
      <family val="2"/>
    </font>
    <font>
      <sz val="16"/>
      <color rgb="FF0000FF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11"/>
      <color rgb="FF0000FF"/>
      <name val="TH SarabunPSK"/>
      <family val="2"/>
      <charset val="222"/>
    </font>
    <font>
      <sz val="11"/>
      <color theme="1"/>
      <name val="TH SarabunPSK"/>
      <family val="2"/>
      <charset val="222"/>
    </font>
    <font>
      <sz val="24"/>
      <color rgb="FFFF0000"/>
      <name val="TH SarabunPSK"/>
      <family val="2"/>
      <charset val="222"/>
    </font>
    <font>
      <sz val="18"/>
      <color rgb="FF0000FF"/>
      <name val="TH SarabunPSK"/>
      <family val="2"/>
      <charset val="222"/>
    </font>
    <font>
      <sz val="24"/>
      <color rgb="FF0000FF"/>
      <name val="TH SarabunPSK"/>
      <family val="2"/>
      <charset val="222"/>
    </font>
    <font>
      <sz val="11"/>
      <color rgb="FF0000FF"/>
      <name val="Tahoma"/>
      <family val="2"/>
      <scheme val="minor"/>
    </font>
    <font>
      <sz val="16"/>
      <color theme="1"/>
      <name val="Tahoma"/>
      <family val="2"/>
    </font>
    <font>
      <sz val="18"/>
      <color rgb="FFFF0000"/>
      <name val="AngsanaUPC"/>
      <family val="1"/>
    </font>
    <font>
      <sz val="24"/>
      <color rgb="FFFF0000"/>
      <name val="AngsanaUPC"/>
      <family val="1"/>
    </font>
    <font>
      <sz val="18"/>
      <color rgb="FF0000FF"/>
      <name val="AngsanaUPC"/>
      <family val="1"/>
    </font>
    <font>
      <sz val="24"/>
      <color rgb="FF0000FF"/>
      <name val="AngsanaUPC"/>
      <family val="1"/>
    </font>
    <font>
      <sz val="16"/>
      <color rgb="FF0000FF"/>
      <name val="Tahoma"/>
      <family val="2"/>
    </font>
    <font>
      <sz val="18"/>
      <color rgb="FF0000FF"/>
      <name val="Browallia New"/>
      <family val="2"/>
    </font>
    <font>
      <sz val="16"/>
      <color rgb="FF0000FF"/>
      <name val="AngsanaUPC"/>
      <family val="1"/>
    </font>
    <font>
      <u/>
      <sz val="18"/>
      <color rgb="FF0000FF"/>
      <name val="TH SarabunPSK"/>
      <family val="2"/>
      <charset val="222"/>
    </font>
    <font>
      <u/>
      <sz val="18"/>
      <color rgb="FF0000FF"/>
      <name val="AngsanaUPC"/>
      <family val="1"/>
    </font>
    <font>
      <sz val="8"/>
      <name val="Tahoma"/>
      <family val="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20"/>
      <color theme="1"/>
      <name val="Angsana New"/>
      <family val="1"/>
    </font>
    <font>
      <b/>
      <u/>
      <sz val="15"/>
      <color theme="1"/>
      <name val="Tahoma"/>
      <family val="2"/>
      <scheme val="minor"/>
    </font>
    <font>
      <sz val="15"/>
      <color theme="1"/>
      <name val="Tahoma"/>
      <family val="2"/>
      <scheme val="minor"/>
    </font>
    <font>
      <sz val="15"/>
      <color rgb="FF0000FF"/>
      <name val="TH SarabunPSK"/>
      <family val="2"/>
      <charset val="222"/>
    </font>
    <font>
      <b/>
      <sz val="15"/>
      <color rgb="FF0000FF"/>
      <name val="TH SarabunPSK"/>
      <family val="2"/>
      <charset val="222"/>
    </font>
    <font>
      <sz val="15"/>
      <color theme="7" tint="0.39997558519241921"/>
      <name val="TH SarabunPSK"/>
      <family val="2"/>
    </font>
    <font>
      <b/>
      <sz val="15"/>
      <color theme="9" tint="-0.249977111117893"/>
      <name val="Tahoma"/>
      <family val="2"/>
      <scheme val="minor"/>
    </font>
    <font>
      <sz val="18"/>
      <color theme="1"/>
      <name val="AngsanaUPC"/>
      <family val="1"/>
    </font>
    <font>
      <sz val="14"/>
      <color rgb="FFFF0000"/>
      <name val="Angsana New"/>
      <family val="1"/>
    </font>
    <font>
      <sz val="14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88" fontId="5" fillId="0" borderId="0" xfId="0" applyNumberFormat="1" applyFont="1" applyAlignment="1">
      <alignment horizontal="center"/>
    </xf>
    <xf numFmtId="188" fontId="6" fillId="0" borderId="0" xfId="0" applyNumberFormat="1" applyFont="1" applyAlignment="1">
      <alignment horizontal="center"/>
    </xf>
    <xf numFmtId="47" fontId="6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89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189" fontId="8" fillId="0" borderId="1" xfId="0" applyNumberFormat="1" applyFont="1" applyBorder="1" applyAlignment="1">
      <alignment horizontal="center"/>
    </xf>
    <xf numFmtId="189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/>
    <xf numFmtId="1" fontId="8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" fontId="1" fillId="0" borderId="0" xfId="0" applyNumberFormat="1" applyFont="1"/>
    <xf numFmtId="0" fontId="7" fillId="0" borderId="2" xfId="0" applyFont="1" applyBorder="1" applyAlignment="1">
      <alignment horizontal="center"/>
    </xf>
    <xf numFmtId="189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89" fontId="8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189" fontId="8" fillId="0" borderId="0" xfId="0" applyNumberFormat="1" applyFont="1" applyAlignment="1">
      <alignment horizontal="center"/>
    </xf>
    <xf numFmtId="190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189" fontId="13" fillId="0" borderId="1" xfId="0" applyNumberFormat="1" applyFont="1" applyBorder="1" applyAlignment="1">
      <alignment horizontal="center"/>
    </xf>
    <xf numFmtId="189" fontId="13" fillId="0" borderId="1" xfId="0" applyNumberFormat="1" applyFont="1" applyBorder="1" applyAlignment="1">
      <alignment horizontal="left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89" fontId="18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189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6" fillId="0" borderId="0" xfId="0" applyFont="1"/>
    <xf numFmtId="0" fontId="24" fillId="0" borderId="0" xfId="0" applyFont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89" fontId="24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89" fontId="28" fillId="0" borderId="1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189" fontId="24" fillId="0" borderId="0" xfId="0" applyNumberFormat="1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33" fillId="0" borderId="0" xfId="0" applyFont="1"/>
    <xf numFmtId="0" fontId="33" fillId="0" borderId="2" xfId="0" applyFont="1" applyBorder="1" applyAlignment="1">
      <alignment horizontal="center"/>
    </xf>
    <xf numFmtId="0" fontId="33" fillId="0" borderId="6" xfId="0" applyFont="1" applyBorder="1"/>
    <xf numFmtId="49" fontId="33" fillId="0" borderId="1" xfId="0" applyNumberFormat="1" applyFont="1" applyBorder="1" applyAlignment="1">
      <alignment horizontal="center"/>
    </xf>
    <xf numFmtId="0" fontId="33" fillId="0" borderId="5" xfId="0" applyFont="1" applyBorder="1"/>
    <xf numFmtId="187" fontId="33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5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3" fillId="0" borderId="5" xfId="0" applyFont="1" applyBorder="1" applyAlignment="1">
      <alignment horizontal="center"/>
    </xf>
    <xf numFmtId="0" fontId="33" fillId="0" borderId="1" xfId="0" applyFont="1" applyBorder="1"/>
    <xf numFmtId="14" fontId="33" fillId="0" borderId="1" xfId="0" applyNumberFormat="1" applyFont="1" applyBorder="1" applyAlignment="1">
      <alignment horizont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5" borderId="0" xfId="0" applyFont="1" applyFill="1" applyAlignment="1">
      <alignment horizontal="center" vertical="center"/>
    </xf>
    <xf numFmtId="189" fontId="37" fillId="0" borderId="0" xfId="0" applyNumberFormat="1" applyFont="1" applyAlignment="1">
      <alignment horizontal="left" vertical="center"/>
    </xf>
    <xf numFmtId="189" fontId="37" fillId="3" borderId="0" xfId="0" applyNumberFormat="1" applyFont="1" applyFill="1" applyAlignment="1">
      <alignment horizontal="left" vertical="center"/>
    </xf>
    <xf numFmtId="0" fontId="39" fillId="6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/>
    <xf numFmtId="0" fontId="42" fillId="0" borderId="5" xfId="0" applyFont="1" applyBorder="1" applyAlignment="1">
      <alignment horizontal="center"/>
    </xf>
    <xf numFmtId="0" fontId="42" fillId="0" borderId="5" xfId="0" applyFont="1" applyBorder="1" applyAlignment="1">
      <alignment horizontal="left"/>
    </xf>
    <xf numFmtId="0" fontId="42" fillId="0" borderId="5" xfId="0" applyFont="1" applyBorder="1"/>
    <xf numFmtId="187" fontId="42" fillId="0" borderId="1" xfId="0" applyNumberFormat="1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1" xfId="0" applyFont="1" applyBorder="1"/>
    <xf numFmtId="0" fontId="42" fillId="0" borderId="0" xfId="0" applyFont="1"/>
    <xf numFmtId="0" fontId="43" fillId="0" borderId="5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187" fontId="32" fillId="0" borderId="2" xfId="0" applyNumberFormat="1" applyFont="1" applyBorder="1" applyAlignment="1">
      <alignment horizontal="center" vertical="center"/>
    </xf>
    <xf numFmtId="187" fontId="32" fillId="0" borderId="7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99"/>
      <color rgb="FF0000FF"/>
      <color rgb="FFFFFF99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573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576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366</v>
      </c>
      <c r="D9" s="83" t="s">
        <v>367</v>
      </c>
      <c r="E9" s="82" t="s">
        <v>369</v>
      </c>
      <c r="F9" s="83" t="s">
        <v>368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370</v>
      </c>
      <c r="D10" s="83" t="s">
        <v>371</v>
      </c>
      <c r="E10" s="82" t="s">
        <v>373</v>
      </c>
      <c r="F10" s="83" t="s">
        <v>372</v>
      </c>
      <c r="G10" s="84"/>
      <c r="H10" s="84"/>
      <c r="I10" s="84"/>
    </row>
    <row r="11" spans="2:9" s="65" customFormat="1" ht="25.5" x14ac:dyDescent="0.75">
      <c r="B11" s="81"/>
      <c r="C11" s="82"/>
      <c r="D11" s="83"/>
      <c r="E11" s="82"/>
      <c r="F11" s="83"/>
      <c r="G11" s="84"/>
      <c r="H11" s="84"/>
      <c r="I11" s="84"/>
    </row>
    <row r="12" spans="2:9" s="65" customFormat="1" ht="25.5" hidden="1" x14ac:dyDescent="0.75">
      <c r="B12" s="81"/>
      <c r="C12" s="82"/>
      <c r="D12" s="83"/>
      <c r="E12" s="82"/>
      <c r="F12" s="83"/>
      <c r="G12" s="84"/>
      <c r="H12" s="84"/>
      <c r="I12" s="84"/>
    </row>
    <row r="13" spans="2:9" s="65" customFormat="1" ht="25.5" hidden="1" x14ac:dyDescent="0.75">
      <c r="B13" s="81"/>
      <c r="C13" s="82"/>
      <c r="D13" s="83"/>
      <c r="E13" s="84"/>
      <c r="F13" s="83"/>
      <c r="G13" s="84"/>
      <c r="H13" s="84"/>
      <c r="I13" s="84"/>
    </row>
    <row r="14" spans="2:9" s="65" customFormat="1" ht="25.5" hidden="1" x14ac:dyDescent="0.75">
      <c r="B14" s="81"/>
      <c r="C14" s="82"/>
      <c r="D14" s="83"/>
      <c r="E14" s="82"/>
      <c r="F14" s="83"/>
      <c r="G14" s="84"/>
      <c r="H14" s="84"/>
      <c r="I14" s="84"/>
    </row>
    <row r="15" spans="2:9" s="65" customFormat="1" ht="25.5" hidden="1" x14ac:dyDescent="0.75">
      <c r="B15" s="81"/>
      <c r="C15" s="82"/>
      <c r="D15" s="83"/>
      <c r="E15" s="82"/>
      <c r="F15" s="83"/>
      <c r="G15" s="84"/>
      <c r="H15" s="84"/>
      <c r="I15" s="84"/>
    </row>
    <row r="16" spans="2:9" s="65" customFormat="1" ht="25.5" hidden="1" x14ac:dyDescent="0.75">
      <c r="B16" s="81"/>
      <c r="C16" s="82"/>
      <c r="D16" s="83"/>
      <c r="E16" s="82"/>
      <c r="F16" s="83"/>
      <c r="G16" s="84"/>
      <c r="H16" s="84"/>
      <c r="I16" s="84"/>
    </row>
    <row r="17" spans="2:9" s="65" customFormat="1" ht="25.5" hidden="1" x14ac:dyDescent="0.75">
      <c r="B17" s="81"/>
      <c r="C17" s="82"/>
      <c r="D17" s="83"/>
      <c r="E17" s="82"/>
      <c r="F17" s="83"/>
      <c r="G17" s="84"/>
      <c r="H17" s="84"/>
      <c r="I17" s="84"/>
    </row>
    <row r="18" spans="2:9" s="65" customFormat="1" ht="25.5" hidden="1" x14ac:dyDescent="0.75">
      <c r="B18" s="81"/>
      <c r="C18" s="82"/>
      <c r="D18" s="83"/>
      <c r="E18" s="82"/>
      <c r="F18" s="83"/>
      <c r="G18" s="84"/>
      <c r="H18" s="84"/>
      <c r="I18" s="84"/>
    </row>
    <row r="19" spans="2:9" s="65" customFormat="1" ht="25.5" hidden="1" x14ac:dyDescent="0.75">
      <c r="B19" s="81"/>
      <c r="C19" s="82"/>
      <c r="D19" s="83"/>
      <c r="E19" s="82"/>
      <c r="F19" s="83"/>
      <c r="G19" s="84"/>
      <c r="H19" s="84"/>
      <c r="I19" s="84"/>
    </row>
    <row r="20" spans="2:9" s="65" customFormat="1" ht="25.5" hidden="1" x14ac:dyDescent="0.75">
      <c r="B20" s="81"/>
      <c r="C20" s="82"/>
      <c r="D20" s="83"/>
      <c r="E20" s="82"/>
      <c r="F20" s="83"/>
      <c r="G20" s="84"/>
      <c r="H20" s="84"/>
      <c r="I20" s="84"/>
    </row>
    <row r="21" spans="2:9" s="65" customFormat="1" ht="25.5" hidden="1" x14ac:dyDescent="0.75">
      <c r="B21" s="81"/>
      <c r="C21" s="82"/>
      <c r="D21" s="83"/>
      <c r="E21" s="82"/>
      <c r="F21" s="83"/>
      <c r="G21" s="84"/>
      <c r="H21" s="84"/>
      <c r="I21" s="84"/>
    </row>
    <row r="22" spans="2:9" s="65" customFormat="1" ht="25.5" hidden="1" x14ac:dyDescent="0.75">
      <c r="B22" s="81"/>
      <c r="C22" s="82"/>
      <c r="D22" s="83"/>
      <c r="E22" s="82"/>
      <c r="F22" s="83"/>
      <c r="G22" s="84"/>
      <c r="H22" s="84"/>
      <c r="I22" s="84"/>
    </row>
    <row r="23" spans="2:9" s="65" customFormat="1" ht="25.5" hidden="1" x14ac:dyDescent="0.75">
      <c r="B23" s="81"/>
      <c r="C23" s="82"/>
      <c r="D23" s="83"/>
      <c r="E23" s="82"/>
      <c r="F23" s="83"/>
      <c r="G23" s="84"/>
      <c r="H23" s="84"/>
      <c r="I23" s="84"/>
    </row>
    <row r="24" spans="2:9" s="65" customFormat="1" ht="25.5" hidden="1" x14ac:dyDescent="0.75">
      <c r="B24" s="81">
        <f t="shared" ref="B24:B48" si="0">B23+1</f>
        <v>1</v>
      </c>
      <c r="C24" s="82"/>
      <c r="D24" s="83"/>
      <c r="E24" s="82"/>
      <c r="F24" s="83"/>
      <c r="G24" s="84"/>
      <c r="H24" s="84"/>
      <c r="I24" s="84"/>
    </row>
    <row r="25" spans="2:9" s="65" customFormat="1" ht="25.5" hidden="1" x14ac:dyDescent="0.75">
      <c r="B25" s="81">
        <f t="shared" si="0"/>
        <v>2</v>
      </c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>
        <f t="shared" si="0"/>
        <v>3</v>
      </c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>
        <f t="shared" si="0"/>
        <v>4</v>
      </c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>
        <f t="shared" si="0"/>
        <v>5</v>
      </c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>
        <f t="shared" si="0"/>
        <v>6</v>
      </c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>
        <f t="shared" si="0"/>
        <v>7</v>
      </c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>
        <f t="shared" si="0"/>
        <v>8</v>
      </c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>
        <f t="shared" si="0"/>
        <v>9</v>
      </c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>
        <f t="shared" si="0"/>
        <v>10</v>
      </c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>
        <f t="shared" si="0"/>
        <v>11</v>
      </c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>
        <f t="shared" si="0"/>
        <v>12</v>
      </c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>
        <f t="shared" si="0"/>
        <v>13</v>
      </c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>
        <f t="shared" si="0"/>
        <v>14</v>
      </c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>
        <f t="shared" si="0"/>
        <v>15</v>
      </c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>
        <f t="shared" si="0"/>
        <v>16</v>
      </c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>
        <f t="shared" si="0"/>
        <v>17</v>
      </c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>
        <f t="shared" si="0"/>
        <v>18</v>
      </c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>
        <f t="shared" si="0"/>
        <v>19</v>
      </c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>
        <f t="shared" si="0"/>
        <v>20</v>
      </c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>
        <f t="shared" si="0"/>
        <v>21</v>
      </c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>
        <f t="shared" si="0"/>
        <v>22</v>
      </c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>
        <f t="shared" si="0"/>
        <v>23</v>
      </c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>
        <f t="shared" si="0"/>
        <v>24</v>
      </c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>
        <f t="shared" si="0"/>
        <v>25</v>
      </c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589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590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8</v>
      </c>
      <c r="D9" s="83" t="s">
        <v>9</v>
      </c>
      <c r="E9" s="82" t="s">
        <v>11</v>
      </c>
      <c r="F9" s="83" t="s">
        <v>10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13</v>
      </c>
      <c r="D10" s="83" t="s">
        <v>14</v>
      </c>
      <c r="E10" s="82" t="s">
        <v>16</v>
      </c>
      <c r="F10" s="83" t="s">
        <v>15</v>
      </c>
      <c r="G10" s="84"/>
      <c r="H10" s="84"/>
      <c r="I10" s="84"/>
    </row>
    <row r="11" spans="2:9" s="65" customFormat="1" ht="25.5" x14ac:dyDescent="0.75">
      <c r="B11" s="81">
        <f t="shared" ref="B11:B15" si="0">B10+1</f>
        <v>3</v>
      </c>
      <c r="C11" s="82" t="s">
        <v>18</v>
      </c>
      <c r="D11" s="83" t="s">
        <v>19</v>
      </c>
      <c r="E11" s="82" t="s">
        <v>21</v>
      </c>
      <c r="F11" s="83" t="s">
        <v>20</v>
      </c>
      <c r="G11" s="84"/>
      <c r="H11" s="84"/>
      <c r="I11" s="84"/>
    </row>
    <row r="12" spans="2:9" s="65" customFormat="1" ht="25.5" x14ac:dyDescent="0.75">
      <c r="B12" s="81">
        <f t="shared" si="0"/>
        <v>4</v>
      </c>
      <c r="C12" s="82" t="s">
        <v>22</v>
      </c>
      <c r="D12" s="83" t="s">
        <v>23</v>
      </c>
      <c r="E12" s="82" t="s">
        <v>24</v>
      </c>
      <c r="F12" s="83" t="s">
        <v>20</v>
      </c>
      <c r="G12" s="84"/>
      <c r="H12" s="84"/>
      <c r="I12" s="84"/>
    </row>
    <row r="13" spans="2:9" s="65" customFormat="1" ht="25.5" x14ac:dyDescent="0.75">
      <c r="B13" s="81">
        <f t="shared" si="0"/>
        <v>5</v>
      </c>
      <c r="C13" s="82" t="s">
        <v>29</v>
      </c>
      <c r="D13" s="83" t="s">
        <v>30</v>
      </c>
      <c r="E13" s="82" t="s">
        <v>32</v>
      </c>
      <c r="F13" s="83" t="s">
        <v>26</v>
      </c>
      <c r="G13" s="84"/>
      <c r="H13" s="84"/>
      <c r="I13" s="84"/>
    </row>
    <row r="14" spans="2:9" s="65" customFormat="1" ht="25.5" x14ac:dyDescent="0.75">
      <c r="B14" s="81">
        <f t="shared" si="0"/>
        <v>6</v>
      </c>
      <c r="C14" s="82" t="s">
        <v>34</v>
      </c>
      <c r="D14" s="83" t="s">
        <v>35</v>
      </c>
      <c r="E14" s="82" t="s">
        <v>37</v>
      </c>
      <c r="F14" s="83" t="s">
        <v>36</v>
      </c>
      <c r="G14" s="84"/>
      <c r="H14" s="84"/>
      <c r="I14" s="84"/>
    </row>
    <row r="15" spans="2:9" s="65" customFormat="1" ht="25.5" x14ac:dyDescent="0.75">
      <c r="B15" s="81">
        <f t="shared" si="0"/>
        <v>7</v>
      </c>
      <c r="C15" s="82" t="s">
        <v>40</v>
      </c>
      <c r="D15" s="83" t="s">
        <v>41</v>
      </c>
      <c r="E15" s="82" t="s">
        <v>591</v>
      </c>
      <c r="F15" s="83" t="s">
        <v>42</v>
      </c>
      <c r="G15" s="84"/>
      <c r="H15" s="84"/>
      <c r="I15" s="84"/>
    </row>
    <row r="16" spans="2:9" s="65" customFormat="1" ht="25.5" x14ac:dyDescent="0.75">
      <c r="B16" s="81"/>
      <c r="C16" s="82"/>
      <c r="D16" s="83"/>
      <c r="E16" s="82"/>
      <c r="F16" s="83"/>
      <c r="G16" s="84"/>
      <c r="H16" s="84"/>
      <c r="I16" s="84"/>
    </row>
    <row r="17" spans="2:9" s="65" customFormat="1" ht="25.5" hidden="1" x14ac:dyDescent="0.75">
      <c r="B17" s="81"/>
      <c r="C17" s="82"/>
      <c r="D17" s="83"/>
      <c r="E17" s="82"/>
      <c r="F17" s="83"/>
      <c r="G17" s="84"/>
      <c r="H17" s="84"/>
      <c r="I17" s="84"/>
    </row>
    <row r="18" spans="2:9" s="65" customFormat="1" ht="25.5" hidden="1" x14ac:dyDescent="0.75">
      <c r="B18" s="81"/>
      <c r="C18" s="82"/>
      <c r="D18" s="83"/>
      <c r="E18" s="82"/>
      <c r="F18" s="83"/>
      <c r="G18" s="84"/>
      <c r="H18" s="84"/>
      <c r="I18" s="84"/>
    </row>
    <row r="19" spans="2:9" s="65" customFormat="1" ht="25.5" hidden="1" x14ac:dyDescent="0.75">
      <c r="B19" s="81"/>
      <c r="C19" s="82"/>
      <c r="D19" s="83"/>
      <c r="E19" s="82"/>
      <c r="F19" s="83"/>
      <c r="G19" s="84"/>
      <c r="H19" s="84"/>
      <c r="I19" s="84"/>
    </row>
    <row r="20" spans="2:9" s="65" customFormat="1" ht="25.5" hidden="1" x14ac:dyDescent="0.75">
      <c r="B20" s="81"/>
      <c r="C20" s="82"/>
      <c r="D20" s="83"/>
      <c r="E20" s="82"/>
      <c r="F20" s="83"/>
      <c r="G20" s="84"/>
      <c r="H20" s="84"/>
      <c r="I20" s="84"/>
    </row>
    <row r="21" spans="2:9" s="65" customFormat="1" ht="25.5" hidden="1" x14ac:dyDescent="0.75">
      <c r="B21" s="81"/>
      <c r="C21" s="82"/>
      <c r="D21" s="83"/>
      <c r="E21" s="82"/>
      <c r="F21" s="83"/>
      <c r="G21" s="84"/>
      <c r="H21" s="84"/>
      <c r="I21" s="84"/>
    </row>
    <row r="22" spans="2:9" s="65" customFormat="1" ht="25.5" hidden="1" x14ac:dyDescent="0.75">
      <c r="B22" s="81"/>
      <c r="C22" s="82"/>
      <c r="D22" s="83"/>
      <c r="E22" s="82"/>
      <c r="F22" s="83"/>
      <c r="G22" s="84"/>
      <c r="H22" s="84"/>
      <c r="I22" s="84"/>
    </row>
    <row r="23" spans="2:9" s="65" customFormat="1" ht="25.5" hidden="1" x14ac:dyDescent="0.75">
      <c r="B23" s="81"/>
      <c r="C23" s="82"/>
      <c r="D23" s="83"/>
      <c r="E23" s="82"/>
      <c r="F23" s="83"/>
      <c r="G23" s="84"/>
      <c r="H23" s="84"/>
      <c r="I23" s="84"/>
    </row>
    <row r="24" spans="2:9" s="65" customFormat="1" ht="25.5" hidden="1" x14ac:dyDescent="0.75">
      <c r="B24" s="81"/>
      <c r="C24" s="82"/>
      <c r="D24" s="83"/>
      <c r="E24" s="82"/>
      <c r="F24" s="83"/>
      <c r="G24" s="84"/>
      <c r="H24" s="84"/>
      <c r="I24" s="84"/>
    </row>
    <row r="25" spans="2:9" s="65" customFormat="1" ht="25.5" hidden="1" x14ac:dyDescent="0.75">
      <c r="B25" s="81"/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/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/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/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/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/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/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/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/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/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/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/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/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/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/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/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/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/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/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/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/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/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/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/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592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593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44</v>
      </c>
      <c r="D9" s="83" t="s">
        <v>45</v>
      </c>
      <c r="E9" s="82"/>
      <c r="F9" s="83" t="s">
        <v>46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47</v>
      </c>
      <c r="D10" s="83" t="s">
        <v>48</v>
      </c>
      <c r="E10" s="82" t="s">
        <v>50</v>
      </c>
      <c r="F10" s="83" t="s">
        <v>46</v>
      </c>
      <c r="G10" s="84"/>
      <c r="H10" s="84"/>
      <c r="I10" s="84"/>
    </row>
    <row r="11" spans="2:9" s="65" customFormat="1" ht="25.5" x14ac:dyDescent="0.75">
      <c r="B11" s="81">
        <f t="shared" ref="B11:B18" si="0">B10+1</f>
        <v>3</v>
      </c>
      <c r="C11" s="82" t="s">
        <v>52</v>
      </c>
      <c r="D11" s="83" t="s">
        <v>53</v>
      </c>
      <c r="E11" s="82" t="s">
        <v>55</v>
      </c>
      <c r="F11" s="83" t="s">
        <v>54</v>
      </c>
      <c r="G11" s="84"/>
      <c r="H11" s="84"/>
      <c r="I11" s="84"/>
    </row>
    <row r="12" spans="2:9" s="65" customFormat="1" ht="25.5" x14ac:dyDescent="0.75">
      <c r="B12" s="81">
        <f t="shared" si="0"/>
        <v>4</v>
      </c>
      <c r="C12" s="82" t="s">
        <v>56</v>
      </c>
      <c r="D12" s="83" t="s">
        <v>57</v>
      </c>
      <c r="E12" s="82" t="s">
        <v>59</v>
      </c>
      <c r="F12" s="83" t="s">
        <v>58</v>
      </c>
      <c r="G12" s="84"/>
      <c r="H12" s="84"/>
      <c r="I12" s="84"/>
    </row>
    <row r="13" spans="2:9" s="65" customFormat="1" ht="25.5" x14ac:dyDescent="0.75">
      <c r="B13" s="81">
        <f t="shared" si="0"/>
        <v>5</v>
      </c>
      <c r="C13" s="82" t="s">
        <v>61</v>
      </c>
      <c r="D13" s="83" t="s">
        <v>62</v>
      </c>
      <c r="E13" s="82" t="s">
        <v>64</v>
      </c>
      <c r="F13" s="83" t="s">
        <v>63</v>
      </c>
      <c r="G13" s="84"/>
      <c r="H13" s="84"/>
      <c r="I13" s="84"/>
    </row>
    <row r="14" spans="2:9" s="65" customFormat="1" ht="25.5" x14ac:dyDescent="0.75">
      <c r="B14" s="81">
        <f t="shared" si="0"/>
        <v>6</v>
      </c>
      <c r="C14" s="82" t="s">
        <v>65</v>
      </c>
      <c r="D14" s="83" t="s">
        <v>66</v>
      </c>
      <c r="E14" s="82" t="s">
        <v>68</v>
      </c>
      <c r="F14" s="83" t="s">
        <v>67</v>
      </c>
      <c r="G14" s="84"/>
      <c r="H14" s="84"/>
      <c r="I14" s="84"/>
    </row>
    <row r="15" spans="2:9" s="65" customFormat="1" ht="25.5" x14ac:dyDescent="0.75">
      <c r="B15" s="81">
        <f t="shared" si="0"/>
        <v>7</v>
      </c>
      <c r="C15" s="82" t="s">
        <v>69</v>
      </c>
      <c r="D15" s="83" t="s">
        <v>70</v>
      </c>
      <c r="E15" s="82" t="s">
        <v>72</v>
      </c>
      <c r="F15" s="83" t="s">
        <v>71</v>
      </c>
      <c r="G15" s="84"/>
      <c r="H15" s="84"/>
      <c r="I15" s="84"/>
    </row>
    <row r="16" spans="2:9" s="65" customFormat="1" ht="25.5" x14ac:dyDescent="0.75">
      <c r="B16" s="81">
        <f t="shared" si="0"/>
        <v>8</v>
      </c>
      <c r="C16" s="82" t="s">
        <v>73</v>
      </c>
      <c r="D16" s="83" t="s">
        <v>74</v>
      </c>
      <c r="E16" s="82" t="s">
        <v>75</v>
      </c>
      <c r="F16" s="83" t="s">
        <v>71</v>
      </c>
      <c r="G16" s="84"/>
      <c r="H16" s="84"/>
      <c r="I16" s="84"/>
    </row>
    <row r="17" spans="2:9" s="65" customFormat="1" ht="25.5" x14ac:dyDescent="0.75">
      <c r="B17" s="81">
        <f t="shared" si="0"/>
        <v>9</v>
      </c>
      <c r="C17" s="82" t="s">
        <v>76</v>
      </c>
      <c r="D17" s="83" t="s">
        <v>77</v>
      </c>
      <c r="E17" s="82" t="s">
        <v>78</v>
      </c>
      <c r="F17" s="83" t="s">
        <v>71</v>
      </c>
      <c r="G17" s="84"/>
      <c r="H17" s="84"/>
      <c r="I17" s="84"/>
    </row>
    <row r="18" spans="2:9" s="65" customFormat="1" ht="25.5" x14ac:dyDescent="0.75">
      <c r="B18" s="81">
        <f t="shared" si="0"/>
        <v>10</v>
      </c>
      <c r="C18" s="82" t="s">
        <v>332</v>
      </c>
      <c r="D18" s="83" t="s">
        <v>333</v>
      </c>
      <c r="E18" s="82" t="s">
        <v>335</v>
      </c>
      <c r="F18" s="83" t="s">
        <v>334</v>
      </c>
      <c r="G18" s="84"/>
      <c r="H18" s="84"/>
      <c r="I18" s="84"/>
    </row>
    <row r="19" spans="2:9" s="65" customFormat="1" ht="25.5" x14ac:dyDescent="0.75">
      <c r="B19" s="81"/>
      <c r="C19" s="82"/>
      <c r="D19" s="83"/>
      <c r="E19" s="82"/>
      <c r="F19" s="83"/>
      <c r="G19" s="84"/>
      <c r="H19" s="84"/>
      <c r="I19" s="84"/>
    </row>
    <row r="20" spans="2:9" s="65" customFormat="1" ht="25.5" hidden="1" x14ac:dyDescent="0.75">
      <c r="B20" s="81"/>
      <c r="C20" s="82"/>
      <c r="D20" s="83"/>
      <c r="E20" s="82"/>
      <c r="F20" s="83"/>
      <c r="G20" s="84"/>
      <c r="H20" s="84"/>
      <c r="I20" s="84"/>
    </row>
    <row r="21" spans="2:9" s="65" customFormat="1" ht="25.5" hidden="1" x14ac:dyDescent="0.75">
      <c r="B21" s="81"/>
      <c r="C21" s="82"/>
      <c r="D21" s="83"/>
      <c r="E21" s="82"/>
      <c r="F21" s="83"/>
      <c r="G21" s="84"/>
      <c r="H21" s="84"/>
      <c r="I21" s="84"/>
    </row>
    <row r="22" spans="2:9" s="65" customFormat="1" ht="25.5" hidden="1" x14ac:dyDescent="0.75">
      <c r="B22" s="81"/>
      <c r="C22" s="82"/>
      <c r="D22" s="83"/>
      <c r="E22" s="82"/>
      <c r="F22" s="83"/>
      <c r="G22" s="84"/>
      <c r="H22" s="84"/>
      <c r="I22" s="84"/>
    </row>
    <row r="23" spans="2:9" s="65" customFormat="1" ht="25.5" hidden="1" x14ac:dyDescent="0.75">
      <c r="B23" s="81"/>
      <c r="C23" s="82"/>
      <c r="D23" s="83"/>
      <c r="E23" s="82"/>
      <c r="F23" s="83"/>
      <c r="G23" s="84"/>
      <c r="H23" s="84"/>
      <c r="I23" s="84"/>
    </row>
    <row r="24" spans="2:9" s="65" customFormat="1" ht="25.5" hidden="1" x14ac:dyDescent="0.75">
      <c r="B24" s="81"/>
      <c r="C24" s="82"/>
      <c r="D24" s="83"/>
      <c r="E24" s="82"/>
      <c r="F24" s="83"/>
      <c r="G24" s="84"/>
      <c r="H24" s="84"/>
      <c r="I24" s="84"/>
    </row>
    <row r="25" spans="2:9" s="65" customFormat="1" ht="25.5" hidden="1" x14ac:dyDescent="0.75">
      <c r="B25" s="81"/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/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/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/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/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/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/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/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/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/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/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/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/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/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/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/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/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/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/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/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/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/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/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/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B2:I56"/>
  <sheetViews>
    <sheetView showGridLines="0" zoomScale="70" zoomScaleNormal="70" workbookViewId="0">
      <selection activeCell="I8" sqref="I8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594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595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79</v>
      </c>
      <c r="D9" s="83" t="s">
        <v>80</v>
      </c>
      <c r="E9" s="82"/>
      <c r="F9" s="83" t="s">
        <v>81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82</v>
      </c>
      <c r="D10" s="83" t="s">
        <v>83</v>
      </c>
      <c r="E10" s="82" t="s">
        <v>85</v>
      </c>
      <c r="F10" s="83" t="s">
        <v>84</v>
      </c>
      <c r="G10" s="84"/>
      <c r="H10" s="84"/>
      <c r="I10" s="84"/>
    </row>
    <row r="11" spans="2:9" s="65" customFormat="1" ht="25.5" x14ac:dyDescent="0.75">
      <c r="B11" s="81">
        <f t="shared" ref="B11:B16" si="0">B10+1</f>
        <v>3</v>
      </c>
      <c r="C11" s="82" t="s">
        <v>86</v>
      </c>
      <c r="D11" s="83" t="s">
        <v>87</v>
      </c>
      <c r="E11" s="82" t="s">
        <v>89</v>
      </c>
      <c r="F11" s="83" t="s">
        <v>88</v>
      </c>
      <c r="G11" s="84"/>
      <c r="H11" s="84"/>
      <c r="I11" s="84"/>
    </row>
    <row r="12" spans="2:9" s="65" customFormat="1" ht="25.5" x14ac:dyDescent="0.75">
      <c r="B12" s="81">
        <f t="shared" si="0"/>
        <v>4</v>
      </c>
      <c r="C12" s="82" t="s">
        <v>90</v>
      </c>
      <c r="D12" s="83" t="s">
        <v>91</v>
      </c>
      <c r="E12" s="82" t="s">
        <v>92</v>
      </c>
      <c r="F12" s="83" t="s">
        <v>88</v>
      </c>
      <c r="G12" s="84"/>
      <c r="H12" s="84"/>
      <c r="I12" s="84"/>
    </row>
    <row r="13" spans="2:9" s="65" customFormat="1" ht="25.5" x14ac:dyDescent="0.75">
      <c r="B13" s="81">
        <f t="shared" si="0"/>
        <v>5</v>
      </c>
      <c r="C13" s="82" t="s">
        <v>93</v>
      </c>
      <c r="D13" s="83" t="s">
        <v>94</v>
      </c>
      <c r="E13" s="82" t="s">
        <v>95</v>
      </c>
      <c r="F13" s="83" t="s">
        <v>88</v>
      </c>
      <c r="G13" s="84"/>
      <c r="H13" s="84"/>
      <c r="I13" s="84"/>
    </row>
    <row r="14" spans="2:9" s="65" customFormat="1" ht="25.5" x14ac:dyDescent="0.75">
      <c r="B14" s="81">
        <f t="shared" si="0"/>
        <v>6</v>
      </c>
      <c r="C14" s="82" t="s">
        <v>96</v>
      </c>
      <c r="D14" s="83" t="s">
        <v>97</v>
      </c>
      <c r="E14" s="82" t="s">
        <v>99</v>
      </c>
      <c r="F14" s="83" t="s">
        <v>98</v>
      </c>
      <c r="G14" s="84"/>
      <c r="H14" s="84"/>
      <c r="I14" s="84"/>
    </row>
    <row r="15" spans="2:9" s="65" customFormat="1" ht="25.5" x14ac:dyDescent="0.75">
      <c r="B15" s="81">
        <f t="shared" si="0"/>
        <v>7</v>
      </c>
      <c r="C15" s="82" t="s">
        <v>102</v>
      </c>
      <c r="D15" s="83" t="s">
        <v>103</v>
      </c>
      <c r="E15" s="82" t="s">
        <v>105</v>
      </c>
      <c r="F15" s="83" t="s">
        <v>104</v>
      </c>
      <c r="G15" s="84"/>
      <c r="H15" s="84"/>
      <c r="I15" s="84"/>
    </row>
    <row r="16" spans="2:9" s="65" customFormat="1" ht="25.5" x14ac:dyDescent="0.75">
      <c r="B16" s="81">
        <f t="shared" si="0"/>
        <v>8</v>
      </c>
      <c r="C16" s="82" t="s">
        <v>106</v>
      </c>
      <c r="D16" s="83" t="s">
        <v>107</v>
      </c>
      <c r="E16" s="82" t="s">
        <v>109</v>
      </c>
      <c r="F16" s="83" t="s">
        <v>108</v>
      </c>
      <c r="G16" s="84"/>
      <c r="H16" s="84"/>
      <c r="I16" s="84"/>
    </row>
    <row r="17" spans="2:9" s="65" customFormat="1" ht="25.5" x14ac:dyDescent="0.75">
      <c r="B17" s="81">
        <v>9</v>
      </c>
      <c r="C17" s="82" t="s">
        <v>337</v>
      </c>
      <c r="D17" s="83" t="s">
        <v>338</v>
      </c>
      <c r="E17" s="82" t="s">
        <v>340</v>
      </c>
      <c r="F17" s="83" t="s">
        <v>339</v>
      </c>
      <c r="G17" s="84"/>
      <c r="H17" s="84"/>
      <c r="I17" s="84"/>
    </row>
    <row r="18" spans="2:9" s="65" customFormat="1" ht="25.5" x14ac:dyDescent="0.75">
      <c r="B18" s="81"/>
      <c r="C18" s="82"/>
      <c r="D18" s="83"/>
      <c r="E18" s="82"/>
      <c r="F18" s="83"/>
      <c r="G18" s="84"/>
      <c r="H18" s="84"/>
      <c r="I18" s="84"/>
    </row>
    <row r="19" spans="2:9" s="65" customFormat="1" ht="25.5" hidden="1" x14ac:dyDescent="0.75">
      <c r="B19" s="81"/>
      <c r="C19" s="82"/>
      <c r="D19" s="83"/>
      <c r="E19" s="82"/>
      <c r="F19" s="83"/>
      <c r="G19" s="84"/>
      <c r="H19" s="84"/>
      <c r="I19" s="84"/>
    </row>
    <row r="20" spans="2:9" s="65" customFormat="1" ht="25.5" hidden="1" x14ac:dyDescent="0.75">
      <c r="B20" s="81"/>
      <c r="C20" s="82"/>
      <c r="D20" s="83"/>
      <c r="E20" s="82"/>
      <c r="F20" s="83"/>
      <c r="G20" s="84"/>
      <c r="H20" s="84"/>
      <c r="I20" s="84"/>
    </row>
    <row r="21" spans="2:9" s="65" customFormat="1" ht="25.5" hidden="1" x14ac:dyDescent="0.75">
      <c r="B21" s="81"/>
      <c r="C21" s="82"/>
      <c r="D21" s="83"/>
      <c r="E21" s="82"/>
      <c r="F21" s="83"/>
      <c r="G21" s="84"/>
      <c r="H21" s="84"/>
      <c r="I21" s="84"/>
    </row>
    <row r="22" spans="2:9" s="65" customFormat="1" ht="25.5" hidden="1" x14ac:dyDescent="0.75">
      <c r="B22" s="81"/>
      <c r="C22" s="82"/>
      <c r="D22" s="83"/>
      <c r="E22" s="82"/>
      <c r="F22" s="83"/>
      <c r="G22" s="84"/>
      <c r="H22" s="84"/>
      <c r="I22" s="84"/>
    </row>
    <row r="23" spans="2:9" s="65" customFormat="1" ht="25.5" hidden="1" x14ac:dyDescent="0.75">
      <c r="B23" s="81"/>
      <c r="C23" s="82"/>
      <c r="D23" s="83"/>
      <c r="E23" s="82"/>
      <c r="F23" s="83"/>
      <c r="G23" s="84"/>
      <c r="H23" s="84"/>
      <c r="I23" s="84"/>
    </row>
    <row r="24" spans="2:9" s="65" customFormat="1" ht="25.5" hidden="1" x14ac:dyDescent="0.75">
      <c r="B24" s="81"/>
      <c r="C24" s="82"/>
      <c r="D24" s="83"/>
      <c r="E24" s="82"/>
      <c r="F24" s="83"/>
      <c r="G24" s="84"/>
      <c r="H24" s="84"/>
      <c r="I24" s="84"/>
    </row>
    <row r="25" spans="2:9" s="65" customFormat="1" ht="25.5" hidden="1" x14ac:dyDescent="0.75">
      <c r="B25" s="81"/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/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/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/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/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/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/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/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/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/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/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/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/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/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/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/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/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/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/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/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/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/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/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/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B2:I56"/>
  <sheetViews>
    <sheetView showGridLines="0" zoomScale="85" zoomScaleNormal="85" workbookViewId="0">
      <selection sqref="A1:I57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596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597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111</v>
      </c>
      <c r="D9" s="83" t="s">
        <v>112</v>
      </c>
      <c r="E9" s="82" t="s">
        <v>114</v>
      </c>
      <c r="F9" s="83" t="s">
        <v>113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117</v>
      </c>
      <c r="D10" s="83" t="s">
        <v>118</v>
      </c>
      <c r="E10" s="82" t="s">
        <v>120</v>
      </c>
      <c r="F10" s="83" t="s">
        <v>119</v>
      </c>
      <c r="G10" s="84"/>
      <c r="H10" s="84"/>
      <c r="I10" s="84"/>
    </row>
    <row r="11" spans="2:9" s="65" customFormat="1" ht="25.5" x14ac:dyDescent="0.75">
      <c r="B11" s="81">
        <f t="shared" ref="B11:B12" si="0">B10+1</f>
        <v>3</v>
      </c>
      <c r="C11" s="82" t="s">
        <v>121</v>
      </c>
      <c r="D11" s="83" t="s">
        <v>122</v>
      </c>
      <c r="E11" s="82" t="s">
        <v>123</v>
      </c>
      <c r="F11" s="83" t="s">
        <v>119</v>
      </c>
      <c r="G11" s="84"/>
      <c r="H11" s="84"/>
      <c r="I11" s="84"/>
    </row>
    <row r="12" spans="2:9" s="65" customFormat="1" ht="25.5" x14ac:dyDescent="0.75">
      <c r="B12" s="81">
        <f t="shared" si="0"/>
        <v>4</v>
      </c>
      <c r="C12" s="82" t="s">
        <v>125</v>
      </c>
      <c r="D12" s="83" t="s">
        <v>126</v>
      </c>
      <c r="E12" s="82"/>
      <c r="F12" s="83" t="s">
        <v>127</v>
      </c>
      <c r="G12" s="84"/>
      <c r="H12" s="84"/>
      <c r="I12" s="84"/>
    </row>
    <row r="13" spans="2:9" s="65" customFormat="1" ht="25.5" x14ac:dyDescent="0.75">
      <c r="B13" s="81"/>
      <c r="C13" s="82"/>
      <c r="D13" s="83"/>
      <c r="E13" s="82"/>
      <c r="F13" s="83"/>
      <c r="G13" s="84"/>
      <c r="H13" s="84"/>
      <c r="I13" s="84"/>
    </row>
    <row r="14" spans="2:9" s="65" customFormat="1" ht="25.5" hidden="1" x14ac:dyDescent="0.75">
      <c r="B14" s="81"/>
      <c r="C14" s="82"/>
      <c r="D14" s="83"/>
      <c r="E14" s="82"/>
      <c r="F14" s="83"/>
      <c r="G14" s="84"/>
      <c r="H14" s="84"/>
      <c r="I14" s="84"/>
    </row>
    <row r="15" spans="2:9" s="65" customFormat="1" ht="25.5" hidden="1" x14ac:dyDescent="0.75">
      <c r="B15" s="81"/>
      <c r="C15" s="82"/>
      <c r="D15" s="83"/>
      <c r="E15" s="82"/>
      <c r="F15" s="83"/>
      <c r="G15" s="84"/>
      <c r="H15" s="84"/>
      <c r="I15" s="84"/>
    </row>
    <row r="16" spans="2:9" s="65" customFormat="1" ht="25.5" hidden="1" x14ac:dyDescent="0.75">
      <c r="B16" s="81"/>
      <c r="C16" s="82"/>
      <c r="D16" s="83"/>
      <c r="E16" s="82"/>
      <c r="F16" s="83"/>
      <c r="G16" s="84"/>
      <c r="H16" s="84"/>
      <c r="I16" s="84"/>
    </row>
    <row r="17" spans="2:9" s="65" customFormat="1" ht="25.5" hidden="1" x14ac:dyDescent="0.75">
      <c r="B17" s="81"/>
      <c r="C17" s="82"/>
      <c r="D17" s="83"/>
      <c r="E17" s="82"/>
      <c r="F17" s="83"/>
      <c r="G17" s="84"/>
      <c r="H17" s="84"/>
      <c r="I17" s="84"/>
    </row>
    <row r="18" spans="2:9" s="65" customFormat="1" ht="25.5" hidden="1" x14ac:dyDescent="0.75">
      <c r="B18" s="81"/>
      <c r="C18" s="82"/>
      <c r="D18" s="83"/>
      <c r="E18" s="82"/>
      <c r="F18" s="83"/>
      <c r="G18" s="84"/>
      <c r="H18" s="84"/>
      <c r="I18" s="84"/>
    </row>
    <row r="19" spans="2:9" s="65" customFormat="1" ht="25.5" hidden="1" x14ac:dyDescent="0.75">
      <c r="B19" s="81"/>
      <c r="C19" s="82"/>
      <c r="D19" s="83"/>
      <c r="E19" s="82"/>
      <c r="F19" s="83"/>
      <c r="G19" s="84"/>
      <c r="H19" s="84"/>
      <c r="I19" s="84"/>
    </row>
    <row r="20" spans="2:9" s="65" customFormat="1" ht="25.5" hidden="1" x14ac:dyDescent="0.75">
      <c r="B20" s="81"/>
      <c r="C20" s="82"/>
      <c r="D20" s="83"/>
      <c r="E20" s="82"/>
      <c r="F20" s="83"/>
      <c r="G20" s="84"/>
      <c r="H20" s="84"/>
      <c r="I20" s="84"/>
    </row>
    <row r="21" spans="2:9" s="65" customFormat="1" ht="25.5" hidden="1" x14ac:dyDescent="0.75">
      <c r="B21" s="81"/>
      <c r="C21" s="82"/>
      <c r="D21" s="83"/>
      <c r="E21" s="82"/>
      <c r="F21" s="83"/>
      <c r="G21" s="84"/>
      <c r="H21" s="84"/>
      <c r="I21" s="84"/>
    </row>
    <row r="22" spans="2:9" s="65" customFormat="1" ht="25.5" hidden="1" x14ac:dyDescent="0.75">
      <c r="B22" s="81"/>
      <c r="C22" s="82"/>
      <c r="D22" s="83"/>
      <c r="E22" s="82"/>
      <c r="F22" s="83"/>
      <c r="G22" s="84"/>
      <c r="H22" s="84"/>
      <c r="I22" s="84"/>
    </row>
    <row r="23" spans="2:9" s="65" customFormat="1" ht="25.5" hidden="1" x14ac:dyDescent="0.75">
      <c r="B23" s="81"/>
      <c r="C23" s="82"/>
      <c r="D23" s="83"/>
      <c r="E23" s="82"/>
      <c r="F23" s="83"/>
      <c r="G23" s="84"/>
      <c r="H23" s="84"/>
      <c r="I23" s="84"/>
    </row>
    <row r="24" spans="2:9" s="65" customFormat="1" ht="25.5" hidden="1" x14ac:dyDescent="0.75">
      <c r="B24" s="81"/>
      <c r="C24" s="82"/>
      <c r="D24" s="83"/>
      <c r="E24" s="82"/>
      <c r="F24" s="83"/>
      <c r="G24" s="84"/>
      <c r="H24" s="84"/>
      <c r="I24" s="84"/>
    </row>
    <row r="25" spans="2:9" s="65" customFormat="1" ht="25.5" hidden="1" x14ac:dyDescent="0.75">
      <c r="B25" s="81"/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/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/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/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/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/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/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/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/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/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/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/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/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/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/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/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/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/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/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/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/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/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/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/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B2:I56"/>
  <sheetViews>
    <sheetView showGridLines="0" zoomScale="70" zoomScaleNormal="70" workbookViewId="0">
      <selection sqref="A1:I57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598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599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130</v>
      </c>
      <c r="D9" s="83" t="s">
        <v>131</v>
      </c>
      <c r="E9" s="82" t="s">
        <v>132</v>
      </c>
      <c r="F9" s="83" t="s">
        <v>128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133</v>
      </c>
      <c r="D10" s="83" t="s">
        <v>134</v>
      </c>
      <c r="E10" s="82" t="s">
        <v>136</v>
      </c>
      <c r="F10" s="83" t="s">
        <v>135</v>
      </c>
      <c r="G10" s="84"/>
      <c r="H10" s="84"/>
      <c r="I10" s="84"/>
    </row>
    <row r="11" spans="2:9" s="65" customFormat="1" ht="25.5" x14ac:dyDescent="0.75">
      <c r="B11" s="81">
        <f t="shared" ref="B11:B15" si="0">B10+1</f>
        <v>3</v>
      </c>
      <c r="C11" s="82" t="s">
        <v>138</v>
      </c>
      <c r="D11" s="83" t="s">
        <v>139</v>
      </c>
      <c r="E11" s="82" t="s">
        <v>141</v>
      </c>
      <c r="F11" s="83" t="s">
        <v>140</v>
      </c>
      <c r="G11" s="84"/>
      <c r="H11" s="84"/>
      <c r="I11" s="84"/>
    </row>
    <row r="12" spans="2:9" s="65" customFormat="1" ht="25.5" x14ac:dyDescent="0.75">
      <c r="B12" s="81">
        <f t="shared" si="0"/>
        <v>4</v>
      </c>
      <c r="C12" s="82" t="s">
        <v>142</v>
      </c>
      <c r="D12" s="83" t="s">
        <v>143</v>
      </c>
      <c r="E12" s="82" t="s">
        <v>144</v>
      </c>
      <c r="F12" s="83" t="s">
        <v>140</v>
      </c>
      <c r="G12" s="84"/>
      <c r="H12" s="84"/>
      <c r="I12" s="84"/>
    </row>
    <row r="13" spans="2:9" s="65" customFormat="1" ht="25.5" x14ac:dyDescent="0.75">
      <c r="B13" s="81">
        <f t="shared" si="0"/>
        <v>5</v>
      </c>
      <c r="C13" s="82" t="s">
        <v>145</v>
      </c>
      <c r="D13" s="83" t="s">
        <v>146</v>
      </c>
      <c r="E13" s="82" t="s">
        <v>148</v>
      </c>
      <c r="F13" s="83" t="s">
        <v>147</v>
      </c>
      <c r="G13" s="84"/>
      <c r="H13" s="84"/>
      <c r="I13" s="84"/>
    </row>
    <row r="14" spans="2:9" s="65" customFormat="1" ht="25.5" x14ac:dyDescent="0.75">
      <c r="B14" s="81">
        <f t="shared" si="0"/>
        <v>6</v>
      </c>
      <c r="C14" s="82" t="s">
        <v>149</v>
      </c>
      <c r="D14" s="83" t="s">
        <v>150</v>
      </c>
      <c r="E14" s="82" t="s">
        <v>151</v>
      </c>
      <c r="F14" s="83">
        <v>44341</v>
      </c>
      <c r="G14" s="84"/>
      <c r="H14" s="84"/>
      <c r="I14" s="84"/>
    </row>
    <row r="15" spans="2:9" s="65" customFormat="1" ht="25.5" x14ac:dyDescent="0.75">
      <c r="B15" s="81">
        <f t="shared" si="0"/>
        <v>7</v>
      </c>
      <c r="C15" s="82" t="s">
        <v>152</v>
      </c>
      <c r="D15" s="83" t="s">
        <v>153</v>
      </c>
      <c r="E15" s="82" t="s">
        <v>154</v>
      </c>
      <c r="F15" s="83">
        <v>44341</v>
      </c>
      <c r="G15" s="84"/>
      <c r="H15" s="84"/>
      <c r="I15" s="84"/>
    </row>
    <row r="16" spans="2:9" s="65" customFormat="1" ht="25.5" x14ac:dyDescent="0.75">
      <c r="B16" s="81"/>
      <c r="C16" s="82"/>
      <c r="D16" s="83"/>
      <c r="E16" s="82"/>
      <c r="F16" s="83"/>
      <c r="G16" s="84"/>
      <c r="H16" s="84"/>
      <c r="I16" s="84"/>
    </row>
    <row r="17" spans="2:9" s="65" customFormat="1" ht="25.5" hidden="1" x14ac:dyDescent="0.75">
      <c r="B17" s="81"/>
      <c r="C17" s="82"/>
      <c r="D17" s="83"/>
      <c r="E17" s="82"/>
      <c r="F17" s="83"/>
      <c r="G17" s="84"/>
      <c r="H17" s="84"/>
      <c r="I17" s="84"/>
    </row>
    <row r="18" spans="2:9" s="65" customFormat="1" ht="25.5" hidden="1" x14ac:dyDescent="0.75">
      <c r="B18" s="81"/>
      <c r="C18" s="82"/>
      <c r="D18" s="83"/>
      <c r="E18" s="82"/>
      <c r="F18" s="83"/>
      <c r="G18" s="84"/>
      <c r="H18" s="84"/>
      <c r="I18" s="84"/>
    </row>
    <row r="19" spans="2:9" s="65" customFormat="1" ht="25.5" hidden="1" x14ac:dyDescent="0.75">
      <c r="B19" s="81"/>
      <c r="C19" s="82"/>
      <c r="D19" s="83"/>
      <c r="E19" s="82"/>
      <c r="F19" s="83"/>
      <c r="G19" s="84"/>
      <c r="H19" s="84"/>
      <c r="I19" s="84"/>
    </row>
    <row r="20" spans="2:9" s="65" customFormat="1" ht="25.5" hidden="1" x14ac:dyDescent="0.75">
      <c r="B20" s="81"/>
      <c r="C20" s="82"/>
      <c r="D20" s="83"/>
      <c r="E20" s="82"/>
      <c r="F20" s="83"/>
      <c r="G20" s="84"/>
      <c r="H20" s="84"/>
      <c r="I20" s="84"/>
    </row>
    <row r="21" spans="2:9" s="65" customFormat="1" ht="25.5" hidden="1" x14ac:dyDescent="0.75">
      <c r="B21" s="81"/>
      <c r="C21" s="82"/>
      <c r="D21" s="83"/>
      <c r="E21" s="82"/>
      <c r="F21" s="83"/>
      <c r="G21" s="84"/>
      <c r="H21" s="84"/>
      <c r="I21" s="84"/>
    </row>
    <row r="22" spans="2:9" s="65" customFormat="1" ht="25.5" hidden="1" x14ac:dyDescent="0.75">
      <c r="B22" s="81"/>
      <c r="C22" s="82"/>
      <c r="D22" s="83"/>
      <c r="E22" s="82"/>
      <c r="F22" s="83"/>
      <c r="G22" s="84"/>
      <c r="H22" s="84"/>
      <c r="I22" s="84"/>
    </row>
    <row r="23" spans="2:9" s="65" customFormat="1" ht="25.5" hidden="1" x14ac:dyDescent="0.75">
      <c r="B23" s="81"/>
      <c r="C23" s="82"/>
      <c r="D23" s="83"/>
      <c r="E23" s="82"/>
      <c r="F23" s="83"/>
      <c r="G23" s="84"/>
      <c r="H23" s="84"/>
      <c r="I23" s="84"/>
    </row>
    <row r="24" spans="2:9" s="65" customFormat="1" ht="25.5" hidden="1" x14ac:dyDescent="0.75">
      <c r="B24" s="81"/>
      <c r="C24" s="82"/>
      <c r="D24" s="83"/>
      <c r="E24" s="82"/>
      <c r="F24" s="83"/>
      <c r="G24" s="84"/>
      <c r="H24" s="84"/>
      <c r="I24" s="84"/>
    </row>
    <row r="25" spans="2:9" s="65" customFormat="1" ht="25.5" hidden="1" x14ac:dyDescent="0.75">
      <c r="B25" s="81"/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/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/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/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/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/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/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/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/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/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/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/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/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/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/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/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/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/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/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/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/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/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/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/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B2:I56"/>
  <sheetViews>
    <sheetView showGridLines="0" zoomScale="70" zoomScaleNormal="70" workbookViewId="0">
      <selection activeCell="B49" sqref="B49"/>
    </sheetView>
  </sheetViews>
  <sheetFormatPr defaultColWidth="9" defaultRowHeight="20" x14ac:dyDescent="0.4"/>
  <cols>
    <col min="1" max="1" width="5.08203125" customWidth="1"/>
    <col min="2" max="2" width="8.58203125" style="66" customWidth="1"/>
    <col min="3" max="3" width="11" style="66" customWidth="1"/>
    <col min="4" max="4" width="24.08203125" style="66" customWidth="1"/>
    <col min="5" max="5" width="13.58203125" style="67" customWidth="1"/>
    <col min="6" max="6" width="15.83203125" style="66" customWidth="1"/>
    <col min="7" max="7" width="6.58203125" style="66" customWidth="1"/>
    <col min="8" max="8" width="9.83203125" customWidth="1"/>
    <col min="9" max="10" width="4.08203125" customWidth="1"/>
  </cols>
  <sheetData>
    <row r="2" spans="2:9" ht="34.5" x14ac:dyDescent="0.4">
      <c r="B2" s="68"/>
      <c r="C2" s="68"/>
      <c r="D2" s="69" t="s">
        <v>572</v>
      </c>
      <c r="E2" s="69"/>
      <c r="F2" s="68"/>
    </row>
    <row r="3" spans="2:9" s="65" customFormat="1" ht="34.5" x14ac:dyDescent="0.4">
      <c r="B3" s="70"/>
      <c r="C3" s="70"/>
      <c r="D3" s="71"/>
      <c r="E3" s="71"/>
      <c r="F3" s="72" t="s">
        <v>600</v>
      </c>
      <c r="G3" s="73"/>
    </row>
    <row r="4" spans="2:9" s="65" customFormat="1" ht="26" x14ac:dyDescent="0.4">
      <c r="B4" s="74" t="s">
        <v>574</v>
      </c>
      <c r="C4" s="70"/>
      <c r="D4" s="70"/>
      <c r="E4" s="70"/>
      <c r="F4" s="72"/>
      <c r="G4" s="73"/>
    </row>
    <row r="5" spans="2:9" s="65" customFormat="1" ht="26" x14ac:dyDescent="0.4">
      <c r="B5" s="74" t="s">
        <v>575</v>
      </c>
      <c r="C5" s="70"/>
      <c r="D5" s="70"/>
      <c r="E5" s="70"/>
      <c r="F5" s="70"/>
      <c r="G5" s="73"/>
    </row>
    <row r="6" spans="2:9" s="65" customFormat="1" ht="26" x14ac:dyDescent="0.4">
      <c r="B6" s="70"/>
      <c r="C6" s="74" t="s">
        <v>601</v>
      </c>
      <c r="D6" s="70"/>
      <c r="E6" s="70"/>
      <c r="F6" s="70"/>
      <c r="G6" s="73"/>
    </row>
    <row r="7" spans="2:9" s="65" customFormat="1" ht="26" x14ac:dyDescent="0.4">
      <c r="B7" s="75" t="s">
        <v>577</v>
      </c>
      <c r="C7" s="76"/>
      <c r="D7" s="76"/>
      <c r="E7" s="76"/>
      <c r="F7" s="76"/>
      <c r="G7" s="73"/>
    </row>
    <row r="8" spans="2:9" s="65" customFormat="1" ht="26" x14ac:dyDescent="0.3">
      <c r="B8" s="77" t="s">
        <v>1</v>
      </c>
      <c r="C8" s="77" t="s">
        <v>578</v>
      </c>
      <c r="D8" s="78" t="s">
        <v>579</v>
      </c>
      <c r="E8" s="78" t="s">
        <v>580</v>
      </c>
      <c r="F8" s="79" t="s">
        <v>6</v>
      </c>
      <c r="G8" s="70"/>
      <c r="H8" s="80"/>
    </row>
    <row r="9" spans="2:9" s="65" customFormat="1" ht="25.5" x14ac:dyDescent="0.75">
      <c r="B9" s="81">
        <v>1</v>
      </c>
      <c r="C9" s="82" t="s">
        <v>155</v>
      </c>
      <c r="D9" s="83" t="s">
        <v>156</v>
      </c>
      <c r="E9" s="82" t="s">
        <v>158</v>
      </c>
      <c r="F9" s="83" t="s">
        <v>157</v>
      </c>
      <c r="G9" s="84"/>
      <c r="H9" s="84"/>
      <c r="I9" s="84"/>
    </row>
    <row r="10" spans="2:9" s="65" customFormat="1" ht="25.5" x14ac:dyDescent="0.75">
      <c r="B10" s="81">
        <f>B9+1</f>
        <v>2</v>
      </c>
      <c r="C10" s="82" t="s">
        <v>159</v>
      </c>
      <c r="D10" s="83" t="s">
        <v>160</v>
      </c>
      <c r="E10" s="82" t="s">
        <v>161</v>
      </c>
      <c r="F10" s="83">
        <v>44375</v>
      </c>
      <c r="G10" s="84"/>
      <c r="H10" s="84"/>
      <c r="I10" s="84"/>
    </row>
    <row r="11" spans="2:9" s="65" customFormat="1" ht="25.5" x14ac:dyDescent="0.75">
      <c r="B11" s="81">
        <f t="shared" ref="B11:B24" si="0">B10+1</f>
        <v>3</v>
      </c>
      <c r="C11" s="82" t="s">
        <v>162</v>
      </c>
      <c r="D11" s="83" t="s">
        <v>163</v>
      </c>
      <c r="E11" s="82"/>
      <c r="F11" s="83" t="s">
        <v>157</v>
      </c>
      <c r="G11" s="84"/>
      <c r="H11" s="84"/>
      <c r="I11" s="84"/>
    </row>
    <row r="12" spans="2:9" s="65" customFormat="1" ht="25.5" x14ac:dyDescent="0.75">
      <c r="B12" s="81">
        <f t="shared" si="0"/>
        <v>4</v>
      </c>
      <c r="C12" s="82" t="s">
        <v>168</v>
      </c>
      <c r="D12" s="83" t="s">
        <v>169</v>
      </c>
      <c r="E12" s="82" t="s">
        <v>170</v>
      </c>
      <c r="F12" s="83" t="s">
        <v>157</v>
      </c>
      <c r="G12" s="84"/>
      <c r="H12" s="84"/>
      <c r="I12" s="84"/>
    </row>
    <row r="13" spans="2:9" s="65" customFormat="1" ht="25.5" x14ac:dyDescent="0.75">
      <c r="B13" s="81">
        <f t="shared" si="0"/>
        <v>5</v>
      </c>
      <c r="C13" s="82" t="s">
        <v>171</v>
      </c>
      <c r="D13" s="83" t="s">
        <v>172</v>
      </c>
      <c r="E13" s="82" t="s">
        <v>173</v>
      </c>
      <c r="F13" s="83" t="s">
        <v>157</v>
      </c>
      <c r="G13" s="84"/>
      <c r="H13" s="84"/>
      <c r="I13" s="84"/>
    </row>
    <row r="14" spans="2:9" s="65" customFormat="1" ht="25.5" x14ac:dyDescent="0.75">
      <c r="B14" s="81">
        <f t="shared" si="0"/>
        <v>6</v>
      </c>
      <c r="C14" s="82" t="s">
        <v>174</v>
      </c>
      <c r="D14" s="83" t="s">
        <v>175</v>
      </c>
      <c r="E14" s="82" t="s">
        <v>177</v>
      </c>
      <c r="F14" s="83" t="s">
        <v>157</v>
      </c>
      <c r="G14" s="84"/>
      <c r="H14" s="84"/>
      <c r="I14" s="84"/>
    </row>
    <row r="15" spans="2:9" s="65" customFormat="1" ht="25.5" x14ac:dyDescent="0.75">
      <c r="B15" s="81">
        <f t="shared" si="0"/>
        <v>7</v>
      </c>
      <c r="C15" s="82" t="s">
        <v>178</v>
      </c>
      <c r="D15" s="83" t="s">
        <v>179</v>
      </c>
      <c r="E15" s="82" t="s">
        <v>181</v>
      </c>
      <c r="F15" s="83" t="s">
        <v>157</v>
      </c>
      <c r="G15" s="84"/>
      <c r="H15" s="84"/>
      <c r="I15" s="84"/>
    </row>
    <row r="16" spans="2:9" s="65" customFormat="1" ht="25.5" x14ac:dyDescent="0.75">
      <c r="B16" s="81">
        <f t="shared" si="0"/>
        <v>8</v>
      </c>
      <c r="C16" s="82" t="s">
        <v>182</v>
      </c>
      <c r="D16" s="83" t="s">
        <v>183</v>
      </c>
      <c r="E16" s="82" t="s">
        <v>185</v>
      </c>
      <c r="F16" s="83" t="s">
        <v>157</v>
      </c>
      <c r="G16" s="84"/>
      <c r="H16" s="84"/>
      <c r="I16" s="84"/>
    </row>
    <row r="17" spans="2:9" s="65" customFormat="1" ht="25.5" x14ac:dyDescent="0.75">
      <c r="B17" s="81">
        <v>9</v>
      </c>
      <c r="C17" s="82" t="s">
        <v>186</v>
      </c>
      <c r="D17" s="83" t="s">
        <v>187</v>
      </c>
      <c r="E17" s="82" t="s">
        <v>188</v>
      </c>
      <c r="F17" s="83" t="s">
        <v>157</v>
      </c>
      <c r="G17" s="84"/>
      <c r="H17" s="84"/>
      <c r="I17" s="84"/>
    </row>
    <row r="18" spans="2:9" s="65" customFormat="1" ht="25.5" x14ac:dyDescent="0.75">
      <c r="B18" s="81">
        <f t="shared" si="0"/>
        <v>10</v>
      </c>
      <c r="C18" s="82" t="s">
        <v>193</v>
      </c>
      <c r="D18" s="83" t="s">
        <v>194</v>
      </c>
      <c r="E18" s="82" t="s">
        <v>195</v>
      </c>
      <c r="F18" s="83" t="s">
        <v>157</v>
      </c>
      <c r="G18" s="84"/>
      <c r="H18" s="84"/>
      <c r="I18" s="84"/>
    </row>
    <row r="19" spans="2:9" s="65" customFormat="1" ht="25.5" x14ac:dyDescent="0.75">
      <c r="B19" s="81">
        <v>11</v>
      </c>
      <c r="C19" s="82" t="s">
        <v>196</v>
      </c>
      <c r="D19" s="83" t="s">
        <v>197</v>
      </c>
      <c r="E19" s="82" t="s">
        <v>199</v>
      </c>
      <c r="F19" s="83" t="s">
        <v>157</v>
      </c>
      <c r="G19" s="84"/>
      <c r="H19" s="84"/>
      <c r="I19" s="84"/>
    </row>
    <row r="20" spans="2:9" s="65" customFormat="1" ht="25.5" x14ac:dyDescent="0.75">
      <c r="B20" s="81">
        <f t="shared" si="0"/>
        <v>12</v>
      </c>
      <c r="C20" s="82" t="s">
        <v>200</v>
      </c>
      <c r="D20" s="83" t="s">
        <v>201</v>
      </c>
      <c r="E20" s="82" t="s">
        <v>202</v>
      </c>
      <c r="F20" s="83" t="s">
        <v>157</v>
      </c>
      <c r="G20" s="84"/>
      <c r="H20" s="84"/>
      <c r="I20" s="84"/>
    </row>
    <row r="21" spans="2:9" s="65" customFormat="1" ht="25.5" x14ac:dyDescent="0.75">
      <c r="B21" s="81">
        <v>13</v>
      </c>
      <c r="C21" s="82" t="s">
        <v>203</v>
      </c>
      <c r="D21" s="83" t="s">
        <v>204</v>
      </c>
      <c r="E21" s="82" t="s">
        <v>206</v>
      </c>
      <c r="F21" s="83" t="s">
        <v>157</v>
      </c>
      <c r="G21" s="84"/>
      <c r="H21" s="84"/>
      <c r="I21" s="84"/>
    </row>
    <row r="22" spans="2:9" s="65" customFormat="1" ht="25.5" x14ac:dyDescent="0.75">
      <c r="B22" s="81">
        <f t="shared" si="0"/>
        <v>14</v>
      </c>
      <c r="C22" s="82" t="s">
        <v>207</v>
      </c>
      <c r="D22" s="83" t="s">
        <v>208</v>
      </c>
      <c r="E22" s="82" t="s">
        <v>210</v>
      </c>
      <c r="F22" s="83" t="s">
        <v>209</v>
      </c>
      <c r="G22" s="84"/>
      <c r="H22" s="84"/>
      <c r="I22" s="84"/>
    </row>
    <row r="23" spans="2:9" s="65" customFormat="1" ht="25.5" x14ac:dyDescent="0.75">
      <c r="B23" s="81">
        <v>15</v>
      </c>
      <c r="C23" s="82" t="s">
        <v>216</v>
      </c>
      <c r="D23" s="83" t="s">
        <v>217</v>
      </c>
      <c r="E23" s="82"/>
      <c r="F23" s="83" t="s">
        <v>218</v>
      </c>
      <c r="G23" s="84"/>
      <c r="H23" s="84"/>
      <c r="I23" s="84"/>
    </row>
    <row r="24" spans="2:9" s="65" customFormat="1" ht="25.5" x14ac:dyDescent="0.75">
      <c r="B24" s="81">
        <f t="shared" si="0"/>
        <v>16</v>
      </c>
      <c r="C24" s="82" t="s">
        <v>219</v>
      </c>
      <c r="D24" s="83" t="s">
        <v>220</v>
      </c>
      <c r="E24" s="82" t="s">
        <v>222</v>
      </c>
      <c r="F24" s="83" t="s">
        <v>221</v>
      </c>
      <c r="G24" s="84"/>
      <c r="H24" s="84"/>
      <c r="I24" s="84"/>
    </row>
    <row r="25" spans="2:9" s="65" customFormat="1" ht="25.5" x14ac:dyDescent="0.75">
      <c r="B25" s="81"/>
      <c r="C25" s="82"/>
      <c r="D25" s="83"/>
      <c r="E25" s="82"/>
      <c r="F25" s="83"/>
      <c r="G25" s="84"/>
      <c r="H25" s="84"/>
      <c r="I25" s="84"/>
    </row>
    <row r="26" spans="2:9" s="65" customFormat="1" ht="25.5" hidden="1" x14ac:dyDescent="0.75">
      <c r="B26" s="81"/>
      <c r="C26" s="82"/>
      <c r="D26" s="83"/>
      <c r="E26" s="82"/>
      <c r="F26" s="83"/>
      <c r="G26" s="84"/>
      <c r="H26" s="84"/>
      <c r="I26" s="84"/>
    </row>
    <row r="27" spans="2:9" s="65" customFormat="1" ht="25.5" hidden="1" x14ac:dyDescent="0.75">
      <c r="B27" s="81"/>
      <c r="C27" s="82"/>
      <c r="D27" s="83"/>
      <c r="E27" s="82"/>
      <c r="F27" s="83"/>
      <c r="G27" s="84"/>
      <c r="H27" s="84"/>
      <c r="I27" s="84"/>
    </row>
    <row r="28" spans="2:9" s="65" customFormat="1" ht="25.5" hidden="1" x14ac:dyDescent="0.75">
      <c r="B28" s="81"/>
      <c r="C28" s="82"/>
      <c r="D28" s="83"/>
      <c r="E28" s="82"/>
      <c r="F28" s="83"/>
      <c r="G28" s="84"/>
      <c r="H28" s="84"/>
      <c r="I28" s="84"/>
    </row>
    <row r="29" spans="2:9" s="65" customFormat="1" ht="25.5" hidden="1" x14ac:dyDescent="0.75">
      <c r="B29" s="81"/>
      <c r="C29" s="82"/>
      <c r="D29" s="83"/>
      <c r="E29" s="82"/>
      <c r="F29" s="83"/>
      <c r="G29" s="84"/>
      <c r="H29" s="84"/>
      <c r="I29" s="84"/>
    </row>
    <row r="30" spans="2:9" s="65" customFormat="1" ht="25.5" hidden="1" x14ac:dyDescent="0.75">
      <c r="B30" s="81"/>
      <c r="C30" s="82"/>
      <c r="D30" s="83"/>
      <c r="E30" s="82"/>
      <c r="F30" s="83"/>
      <c r="G30" s="84"/>
      <c r="H30" s="84"/>
      <c r="I30" s="84"/>
    </row>
    <row r="31" spans="2:9" s="65" customFormat="1" ht="25.5" hidden="1" x14ac:dyDescent="0.75">
      <c r="B31" s="81"/>
      <c r="C31" s="82"/>
      <c r="D31" s="83"/>
      <c r="E31" s="82"/>
      <c r="F31" s="83"/>
      <c r="G31" s="84"/>
      <c r="H31" s="84"/>
      <c r="I31" s="84"/>
    </row>
    <row r="32" spans="2:9" s="65" customFormat="1" ht="25.5" hidden="1" x14ac:dyDescent="0.75">
      <c r="B32" s="81"/>
      <c r="C32" s="82"/>
      <c r="D32" s="83"/>
      <c r="E32" s="82"/>
      <c r="F32" s="83"/>
      <c r="G32" s="84"/>
      <c r="H32" s="84"/>
      <c r="I32" s="84"/>
    </row>
    <row r="33" spans="2:9" s="65" customFormat="1" ht="25.5" hidden="1" x14ac:dyDescent="0.75">
      <c r="B33" s="81"/>
      <c r="C33" s="82"/>
      <c r="D33" s="83"/>
      <c r="E33" s="82"/>
      <c r="F33" s="83"/>
      <c r="G33" s="84"/>
      <c r="H33" s="84"/>
      <c r="I33" s="84"/>
    </row>
    <row r="34" spans="2:9" s="65" customFormat="1" ht="25.5" hidden="1" x14ac:dyDescent="0.75">
      <c r="B34" s="81"/>
      <c r="C34" s="82"/>
      <c r="D34" s="83"/>
      <c r="E34" s="82"/>
      <c r="F34" s="83"/>
      <c r="G34" s="84"/>
      <c r="H34" s="84"/>
      <c r="I34" s="84"/>
    </row>
    <row r="35" spans="2:9" s="65" customFormat="1" ht="25.5" hidden="1" x14ac:dyDescent="0.75">
      <c r="B35" s="81"/>
      <c r="C35" s="82"/>
      <c r="D35" s="83"/>
      <c r="E35" s="82"/>
      <c r="F35" s="83"/>
      <c r="G35" s="84"/>
      <c r="H35" s="84"/>
      <c r="I35" s="84"/>
    </row>
    <row r="36" spans="2:9" s="65" customFormat="1" ht="25.5" hidden="1" x14ac:dyDescent="0.75">
      <c r="B36" s="81"/>
      <c r="C36" s="82"/>
      <c r="D36" s="83"/>
      <c r="E36" s="82"/>
      <c r="F36" s="83"/>
      <c r="G36" s="84"/>
      <c r="H36" s="84"/>
      <c r="I36" s="84"/>
    </row>
    <row r="37" spans="2:9" s="65" customFormat="1" ht="25.5" hidden="1" x14ac:dyDescent="0.75">
      <c r="B37" s="81"/>
      <c r="C37" s="82"/>
      <c r="D37" s="83"/>
      <c r="E37" s="82"/>
      <c r="F37" s="83"/>
      <c r="G37" s="84"/>
      <c r="H37" s="84"/>
      <c r="I37" s="84"/>
    </row>
    <row r="38" spans="2:9" s="65" customFormat="1" ht="25.5" hidden="1" x14ac:dyDescent="0.75">
      <c r="B38" s="81"/>
      <c r="C38" s="82"/>
      <c r="D38" s="83"/>
      <c r="E38" s="82"/>
      <c r="F38" s="83"/>
      <c r="G38" s="84"/>
      <c r="H38" s="84"/>
      <c r="I38" s="84"/>
    </row>
    <row r="39" spans="2:9" s="65" customFormat="1" ht="25.5" hidden="1" x14ac:dyDescent="0.75">
      <c r="B39" s="81"/>
      <c r="C39" s="82"/>
      <c r="D39" s="83"/>
      <c r="E39" s="82"/>
      <c r="F39" s="83"/>
      <c r="G39" s="84"/>
      <c r="H39" s="84"/>
      <c r="I39" s="84"/>
    </row>
    <row r="40" spans="2:9" s="65" customFormat="1" ht="25.5" hidden="1" x14ac:dyDescent="0.75">
      <c r="B40" s="81"/>
      <c r="C40" s="82"/>
      <c r="D40" s="83"/>
      <c r="E40" s="82"/>
      <c r="F40" s="83"/>
      <c r="G40" s="84"/>
      <c r="H40" s="84"/>
      <c r="I40" s="84"/>
    </row>
    <row r="41" spans="2:9" s="65" customFormat="1" ht="25.5" hidden="1" x14ac:dyDescent="0.75">
      <c r="B41" s="81"/>
      <c r="C41" s="82"/>
      <c r="D41" s="83"/>
      <c r="E41" s="82"/>
      <c r="F41" s="83"/>
      <c r="G41" s="84"/>
      <c r="H41" s="84"/>
      <c r="I41" s="84"/>
    </row>
    <row r="42" spans="2:9" s="65" customFormat="1" ht="25.5" hidden="1" x14ac:dyDescent="0.75">
      <c r="B42" s="81"/>
      <c r="C42" s="82"/>
      <c r="D42" s="83"/>
      <c r="E42" s="82"/>
      <c r="F42" s="83"/>
      <c r="G42" s="84"/>
      <c r="H42" s="84"/>
      <c r="I42" s="84"/>
    </row>
    <row r="43" spans="2:9" s="65" customFormat="1" ht="25.5" hidden="1" x14ac:dyDescent="0.75">
      <c r="B43" s="81"/>
      <c r="C43" s="82"/>
      <c r="D43" s="83"/>
      <c r="E43" s="82"/>
      <c r="F43" s="83"/>
      <c r="G43" s="84"/>
      <c r="H43" s="84"/>
      <c r="I43" s="84"/>
    </row>
    <row r="44" spans="2:9" s="65" customFormat="1" ht="25.5" hidden="1" x14ac:dyDescent="0.75">
      <c r="B44" s="81"/>
      <c r="C44" s="82"/>
      <c r="D44" s="83"/>
      <c r="E44" s="82"/>
      <c r="F44" s="83"/>
      <c r="G44" s="84"/>
      <c r="H44" s="84"/>
      <c r="I44" s="84"/>
    </row>
    <row r="45" spans="2:9" s="65" customFormat="1" ht="25.5" hidden="1" x14ac:dyDescent="0.75">
      <c r="B45" s="81"/>
      <c r="C45" s="82"/>
      <c r="D45" s="83"/>
      <c r="E45" s="82"/>
      <c r="F45" s="83"/>
      <c r="G45" s="84"/>
      <c r="H45" s="84"/>
      <c r="I45" s="84"/>
    </row>
    <row r="46" spans="2:9" s="65" customFormat="1" ht="25.5" hidden="1" x14ac:dyDescent="0.75">
      <c r="B46" s="81"/>
      <c r="C46" s="82"/>
      <c r="D46" s="83"/>
      <c r="E46" s="82"/>
      <c r="F46" s="83"/>
      <c r="G46" s="84"/>
      <c r="H46" s="84"/>
      <c r="I46" s="84"/>
    </row>
    <row r="47" spans="2:9" s="65" customFormat="1" ht="25.5" hidden="1" x14ac:dyDescent="0.75">
      <c r="B47" s="81"/>
      <c r="C47" s="82"/>
      <c r="D47" s="83"/>
      <c r="E47" s="82"/>
      <c r="F47" s="83"/>
      <c r="G47" s="84"/>
      <c r="H47" s="84"/>
      <c r="I47" s="84"/>
    </row>
    <row r="48" spans="2:9" s="65" customFormat="1" ht="25.5" hidden="1" x14ac:dyDescent="0.75">
      <c r="B48" s="81"/>
      <c r="C48" s="82"/>
      <c r="D48" s="83"/>
      <c r="E48" s="82"/>
      <c r="F48" s="83"/>
      <c r="G48" s="84"/>
      <c r="H48" s="84"/>
      <c r="I48" s="84"/>
    </row>
    <row r="49" spans="2:7" s="65" customFormat="1" ht="26" x14ac:dyDescent="0.8">
      <c r="B49" s="85" t="s">
        <v>581</v>
      </c>
      <c r="C49" s="85"/>
      <c r="D49" s="86"/>
      <c r="E49" s="87"/>
      <c r="F49" s="86"/>
      <c r="G49" s="73"/>
    </row>
    <row r="50" spans="2:7" s="65" customFormat="1" ht="26" x14ac:dyDescent="0.8">
      <c r="B50" s="86" t="s">
        <v>582</v>
      </c>
      <c r="C50" s="86"/>
      <c r="D50" s="86"/>
      <c r="E50" s="87"/>
      <c r="F50" s="86"/>
      <c r="G50" s="73"/>
    </row>
    <row r="51" spans="2:7" s="65" customFormat="1" ht="26" x14ac:dyDescent="0.8">
      <c r="B51" s="86" t="s">
        <v>583</v>
      </c>
      <c r="C51" s="86"/>
      <c r="D51" s="86"/>
      <c r="E51" s="87"/>
      <c r="F51" s="86"/>
      <c r="G51" s="73"/>
    </row>
    <row r="52" spans="2:7" s="65" customFormat="1" ht="26" x14ac:dyDescent="0.8">
      <c r="B52" s="85" t="s">
        <v>584</v>
      </c>
      <c r="C52" s="86"/>
      <c r="D52" s="86"/>
      <c r="E52" s="87"/>
      <c r="F52" s="86"/>
      <c r="G52" s="73"/>
    </row>
    <row r="53" spans="2:7" s="65" customFormat="1" ht="26" x14ac:dyDescent="0.8">
      <c r="B53" s="86" t="s">
        <v>585</v>
      </c>
      <c r="C53" s="86"/>
      <c r="D53" s="86"/>
      <c r="E53" s="87"/>
      <c r="F53" s="86"/>
      <c r="G53" s="73"/>
    </row>
    <row r="54" spans="2:7" s="65" customFormat="1" ht="26" x14ac:dyDescent="0.8">
      <c r="B54" s="86"/>
      <c r="C54" s="86" t="s">
        <v>586</v>
      </c>
      <c r="D54" s="86"/>
      <c r="E54" s="87"/>
      <c r="F54" s="86"/>
      <c r="G54" s="73"/>
    </row>
    <row r="55" spans="2:7" s="65" customFormat="1" ht="26" x14ac:dyDescent="0.8">
      <c r="B55" s="86"/>
      <c r="C55" s="86"/>
      <c r="D55" s="86"/>
      <c r="E55" s="87"/>
      <c r="F55" s="86"/>
      <c r="G55" s="73"/>
    </row>
    <row r="56" spans="2:7" s="65" customFormat="1" ht="26" x14ac:dyDescent="0.8">
      <c r="B56" s="86" t="s">
        <v>587</v>
      </c>
      <c r="C56" s="86"/>
      <c r="D56" s="86"/>
      <c r="E56" s="87"/>
      <c r="F56" s="87" t="s">
        <v>588</v>
      </c>
      <c r="G56" s="73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B2:I35"/>
  <sheetViews>
    <sheetView showGridLines="0" zoomScale="85" zoomScaleNormal="85" workbookViewId="0">
      <selection activeCell="J34" sqref="J34"/>
    </sheetView>
  </sheetViews>
  <sheetFormatPr defaultColWidth="9" defaultRowHeight="20.5" x14ac:dyDescent="0.45"/>
  <cols>
    <col min="1" max="1" width="5.08203125" style="49" customWidth="1"/>
    <col min="2" max="2" width="8.58203125" style="42" customWidth="1"/>
    <col min="3" max="3" width="11" style="42" customWidth="1"/>
    <col min="4" max="4" width="24.08203125" style="42" customWidth="1"/>
    <col min="5" max="5" width="13.58203125" style="43" customWidth="1"/>
    <col min="6" max="6" width="15.83203125" style="42" customWidth="1"/>
    <col min="7" max="7" width="6.58203125" style="42" customWidth="1"/>
    <col min="8" max="8" width="9.83203125" style="49" customWidth="1"/>
    <col min="9" max="10" width="4.08203125" style="49" customWidth="1"/>
    <col min="11" max="16384" width="9" style="49"/>
  </cols>
  <sheetData>
    <row r="2" spans="2:9" ht="30.5" x14ac:dyDescent="0.45">
      <c r="B2" s="121" t="s">
        <v>588</v>
      </c>
      <c r="C2" s="121"/>
      <c r="D2" s="121"/>
      <c r="E2" s="121"/>
      <c r="F2" s="121"/>
    </row>
    <row r="3" spans="2:9" s="48" customFormat="1" ht="30.5" x14ac:dyDescent="0.45">
      <c r="B3" s="50"/>
      <c r="C3" s="50"/>
      <c r="D3" s="51"/>
      <c r="E3" s="51"/>
      <c r="F3" s="52" t="s">
        <v>602</v>
      </c>
      <c r="G3" s="41"/>
    </row>
    <row r="4" spans="2:9" s="48" customFormat="1" ht="23" x14ac:dyDescent="0.45">
      <c r="B4" s="53" t="s">
        <v>603</v>
      </c>
      <c r="C4" s="50"/>
      <c r="D4" s="50"/>
      <c r="E4" s="50"/>
      <c r="F4" s="54"/>
      <c r="G4" s="41"/>
    </row>
    <row r="5" spans="2:9" s="48" customFormat="1" ht="23" x14ac:dyDescent="0.45">
      <c r="B5" s="53" t="s">
        <v>575</v>
      </c>
      <c r="C5" s="50"/>
      <c r="D5" s="50"/>
      <c r="E5" s="50"/>
      <c r="F5" s="50"/>
      <c r="G5" s="41"/>
    </row>
    <row r="6" spans="2:9" s="48" customFormat="1" ht="23" x14ac:dyDescent="0.45">
      <c r="B6" s="50"/>
      <c r="C6" s="53" t="s">
        <v>604</v>
      </c>
      <c r="D6" s="50"/>
      <c r="E6" s="50"/>
      <c r="F6" s="50"/>
      <c r="G6" s="41"/>
    </row>
    <row r="7" spans="2:9" s="48" customFormat="1" ht="23" x14ac:dyDescent="0.45">
      <c r="B7" s="55" t="s">
        <v>577</v>
      </c>
      <c r="C7" s="56"/>
      <c r="D7" s="56"/>
      <c r="E7" s="56"/>
      <c r="F7" s="56"/>
      <c r="G7" s="41"/>
    </row>
    <row r="8" spans="2:9" s="48" customFormat="1" ht="23" x14ac:dyDescent="0.35">
      <c r="B8" s="57" t="s">
        <v>1</v>
      </c>
      <c r="C8" s="57" t="s">
        <v>578</v>
      </c>
      <c r="D8" s="58" t="s">
        <v>579</v>
      </c>
      <c r="E8" s="58" t="s">
        <v>580</v>
      </c>
      <c r="F8" s="59" t="s">
        <v>6</v>
      </c>
      <c r="G8" s="50"/>
      <c r="H8" s="60"/>
    </row>
    <row r="9" spans="2:9" s="48" customFormat="1" ht="23" x14ac:dyDescent="0.5">
      <c r="B9" s="61">
        <v>1</v>
      </c>
      <c r="C9" s="45" t="s">
        <v>79</v>
      </c>
      <c r="D9" s="47" t="s">
        <v>80</v>
      </c>
      <c r="E9" s="45"/>
      <c r="F9" s="46" t="s">
        <v>81</v>
      </c>
      <c r="G9" s="44"/>
      <c r="H9" s="44"/>
      <c r="I9" s="44"/>
    </row>
    <row r="10" spans="2:9" s="48" customFormat="1" ht="23" x14ac:dyDescent="0.5">
      <c r="B10" s="61">
        <f>B9+1</f>
        <v>2</v>
      </c>
      <c r="C10" s="45" t="s">
        <v>155</v>
      </c>
      <c r="D10" s="47" t="s">
        <v>156</v>
      </c>
      <c r="E10" s="45" t="s">
        <v>158</v>
      </c>
      <c r="F10" s="46" t="s">
        <v>157</v>
      </c>
      <c r="G10" s="44"/>
      <c r="H10" s="44"/>
      <c r="I10" s="44"/>
    </row>
    <row r="11" spans="2:9" s="48" customFormat="1" ht="23" x14ac:dyDescent="0.5">
      <c r="B11" s="61">
        <f t="shared" ref="B11:B26" si="0">B10+1</f>
        <v>3</v>
      </c>
      <c r="C11" s="45" t="s">
        <v>159</v>
      </c>
      <c r="D11" s="47" t="s">
        <v>160</v>
      </c>
      <c r="E11" s="45" t="s">
        <v>161</v>
      </c>
      <c r="F11" s="46">
        <v>44375</v>
      </c>
      <c r="G11" s="44"/>
      <c r="H11" s="44"/>
      <c r="I11" s="44"/>
    </row>
    <row r="12" spans="2:9" s="48" customFormat="1" ht="23" x14ac:dyDescent="0.5">
      <c r="B12" s="61">
        <f t="shared" si="0"/>
        <v>4</v>
      </c>
      <c r="C12" s="45" t="s">
        <v>162</v>
      </c>
      <c r="D12" s="47" t="s">
        <v>163</v>
      </c>
      <c r="E12" s="45"/>
      <c r="F12" s="46" t="s">
        <v>157</v>
      </c>
      <c r="G12" s="44"/>
      <c r="H12" s="44"/>
      <c r="I12" s="44"/>
    </row>
    <row r="13" spans="2:9" s="48" customFormat="1" ht="23" x14ac:dyDescent="0.5">
      <c r="B13" s="61">
        <f t="shared" si="0"/>
        <v>5</v>
      </c>
      <c r="C13" s="45" t="s">
        <v>164</v>
      </c>
      <c r="D13" s="47" t="s">
        <v>165</v>
      </c>
      <c r="E13" s="45" t="s">
        <v>167</v>
      </c>
      <c r="F13" s="46" t="s">
        <v>157</v>
      </c>
      <c r="G13" s="44"/>
      <c r="H13" s="44"/>
      <c r="I13" s="44"/>
    </row>
    <row r="14" spans="2:9" s="48" customFormat="1" ht="23" x14ac:dyDescent="0.5">
      <c r="B14" s="61">
        <f t="shared" si="0"/>
        <v>6</v>
      </c>
      <c r="C14" s="45" t="s">
        <v>168</v>
      </c>
      <c r="D14" s="47" t="s">
        <v>169</v>
      </c>
      <c r="E14" s="45" t="s">
        <v>170</v>
      </c>
      <c r="F14" s="46" t="s">
        <v>157</v>
      </c>
      <c r="G14" s="44"/>
      <c r="H14" s="44"/>
      <c r="I14" s="44"/>
    </row>
    <row r="15" spans="2:9" s="48" customFormat="1" ht="23" x14ac:dyDescent="0.5">
      <c r="B15" s="61">
        <f t="shared" si="0"/>
        <v>7</v>
      </c>
      <c r="C15" s="45" t="s">
        <v>174</v>
      </c>
      <c r="D15" s="47" t="s">
        <v>175</v>
      </c>
      <c r="E15" s="45" t="s">
        <v>177</v>
      </c>
      <c r="F15" s="46" t="s">
        <v>157</v>
      </c>
      <c r="G15" s="44"/>
      <c r="H15" s="44"/>
      <c r="I15" s="44"/>
    </row>
    <row r="16" spans="2:9" s="48" customFormat="1" ht="23" x14ac:dyDescent="0.5">
      <c r="B16" s="61">
        <f t="shared" si="0"/>
        <v>8</v>
      </c>
      <c r="C16" s="45" t="s">
        <v>178</v>
      </c>
      <c r="D16" s="47" t="s">
        <v>179</v>
      </c>
      <c r="E16" s="45" t="s">
        <v>181</v>
      </c>
      <c r="F16" s="46" t="s">
        <v>157</v>
      </c>
      <c r="G16" s="44"/>
      <c r="H16" s="44"/>
      <c r="I16" s="44"/>
    </row>
    <row r="17" spans="2:9" s="48" customFormat="1" ht="23" x14ac:dyDescent="0.5">
      <c r="B17" s="61">
        <v>9</v>
      </c>
      <c r="C17" s="45" t="s">
        <v>186</v>
      </c>
      <c r="D17" s="47" t="s">
        <v>187</v>
      </c>
      <c r="E17" s="45" t="s">
        <v>188</v>
      </c>
      <c r="F17" s="46" t="s">
        <v>157</v>
      </c>
      <c r="G17" s="44"/>
      <c r="H17" s="44"/>
      <c r="I17" s="44"/>
    </row>
    <row r="18" spans="2:9" s="48" customFormat="1" ht="23" x14ac:dyDescent="0.5">
      <c r="B18" s="61">
        <f t="shared" si="0"/>
        <v>10</v>
      </c>
      <c r="C18" s="45" t="s">
        <v>189</v>
      </c>
      <c r="D18" s="47" t="s">
        <v>190</v>
      </c>
      <c r="E18" s="45" t="s">
        <v>192</v>
      </c>
      <c r="F18" s="46" t="s">
        <v>157</v>
      </c>
      <c r="G18" s="44"/>
      <c r="H18" s="44"/>
      <c r="I18" s="44"/>
    </row>
    <row r="19" spans="2:9" s="48" customFormat="1" ht="23" x14ac:dyDescent="0.5">
      <c r="B19" s="61">
        <v>11</v>
      </c>
      <c r="C19" s="45" t="s">
        <v>193</v>
      </c>
      <c r="D19" s="47" t="s">
        <v>194</v>
      </c>
      <c r="E19" s="45" t="s">
        <v>195</v>
      </c>
      <c r="F19" s="46" t="s">
        <v>157</v>
      </c>
      <c r="G19" s="44"/>
      <c r="H19" s="44"/>
      <c r="I19" s="44"/>
    </row>
    <row r="20" spans="2:9" s="48" customFormat="1" ht="23" x14ac:dyDescent="0.5">
      <c r="B20" s="61">
        <f t="shared" si="0"/>
        <v>12</v>
      </c>
      <c r="C20" s="45" t="s">
        <v>196</v>
      </c>
      <c r="D20" s="47" t="s">
        <v>197</v>
      </c>
      <c r="E20" s="45" t="s">
        <v>199</v>
      </c>
      <c r="F20" s="46" t="s">
        <v>157</v>
      </c>
      <c r="G20" s="44"/>
      <c r="H20" s="44"/>
      <c r="I20" s="44"/>
    </row>
    <row r="21" spans="2:9" s="48" customFormat="1" ht="23" x14ac:dyDescent="0.5">
      <c r="B21" s="61">
        <v>13</v>
      </c>
      <c r="C21" s="45" t="s">
        <v>200</v>
      </c>
      <c r="D21" s="47" t="s">
        <v>201</v>
      </c>
      <c r="E21" s="45" t="s">
        <v>202</v>
      </c>
      <c r="F21" s="46" t="s">
        <v>157</v>
      </c>
      <c r="G21" s="44"/>
      <c r="H21" s="44"/>
      <c r="I21" s="44"/>
    </row>
    <row r="22" spans="2:9" s="48" customFormat="1" ht="23" x14ac:dyDescent="0.5">
      <c r="B22" s="61">
        <f t="shared" si="0"/>
        <v>14</v>
      </c>
      <c r="C22" s="45" t="s">
        <v>207</v>
      </c>
      <c r="D22" s="47" t="s">
        <v>208</v>
      </c>
      <c r="E22" s="45" t="s">
        <v>210</v>
      </c>
      <c r="F22" s="46" t="s">
        <v>209</v>
      </c>
      <c r="G22" s="44"/>
      <c r="H22" s="44"/>
      <c r="I22" s="44"/>
    </row>
    <row r="23" spans="2:9" s="48" customFormat="1" ht="23" x14ac:dyDescent="0.5">
      <c r="B23" s="61">
        <v>15</v>
      </c>
      <c r="C23" s="45" t="s">
        <v>211</v>
      </c>
      <c r="D23" s="47" t="s">
        <v>212</v>
      </c>
      <c r="E23" s="45" t="s">
        <v>214</v>
      </c>
      <c r="F23" s="46" t="s">
        <v>213</v>
      </c>
      <c r="G23" s="44"/>
      <c r="H23" s="44"/>
      <c r="I23" s="44"/>
    </row>
    <row r="24" spans="2:9" s="48" customFormat="1" ht="23" x14ac:dyDescent="0.5">
      <c r="B24" s="61">
        <f t="shared" si="0"/>
        <v>16</v>
      </c>
      <c r="C24" s="45" t="s">
        <v>216</v>
      </c>
      <c r="D24" s="47" t="s">
        <v>217</v>
      </c>
      <c r="E24" s="45"/>
      <c r="F24" s="46" t="s">
        <v>218</v>
      </c>
      <c r="G24" s="44"/>
      <c r="H24" s="44"/>
      <c r="I24" s="44"/>
    </row>
    <row r="25" spans="2:9" s="48" customFormat="1" ht="23" x14ac:dyDescent="0.5">
      <c r="B25" s="61">
        <v>16</v>
      </c>
      <c r="C25" s="45" t="s">
        <v>234</v>
      </c>
      <c r="D25" s="46" t="s">
        <v>235</v>
      </c>
      <c r="E25" s="45" t="s">
        <v>237</v>
      </c>
      <c r="F25" s="46" t="s">
        <v>236</v>
      </c>
      <c r="G25" s="44"/>
      <c r="H25" s="44"/>
      <c r="I25" s="44"/>
    </row>
    <row r="26" spans="2:9" s="48" customFormat="1" ht="23" x14ac:dyDescent="0.5">
      <c r="B26" s="61">
        <f t="shared" si="0"/>
        <v>17</v>
      </c>
      <c r="C26" s="45" t="s">
        <v>261</v>
      </c>
      <c r="D26" s="46" t="s">
        <v>262</v>
      </c>
      <c r="E26" s="45" t="s">
        <v>264</v>
      </c>
      <c r="F26" s="46" t="s">
        <v>263</v>
      </c>
      <c r="G26" s="44"/>
      <c r="H26" s="44"/>
      <c r="I26" s="44"/>
    </row>
    <row r="27" spans="2:9" s="48" customFormat="1" ht="23" x14ac:dyDescent="0.5">
      <c r="B27" s="61">
        <v>17</v>
      </c>
      <c r="C27" s="45" t="s">
        <v>312</v>
      </c>
      <c r="D27" s="46" t="s">
        <v>313</v>
      </c>
      <c r="E27" s="45" t="s">
        <v>315</v>
      </c>
      <c r="F27" s="46" t="s">
        <v>314</v>
      </c>
      <c r="G27" s="44"/>
      <c r="H27" s="44"/>
      <c r="I27" s="44"/>
    </row>
    <row r="28" spans="2:9" s="48" customFormat="1" ht="23" x14ac:dyDescent="0.5">
      <c r="B28" s="62" t="s">
        <v>605</v>
      </c>
      <c r="C28" s="62"/>
      <c r="D28" s="63"/>
      <c r="E28" s="64"/>
      <c r="F28" s="63"/>
      <c r="G28" s="41"/>
    </row>
    <row r="29" spans="2:9" s="48" customFormat="1" ht="23" x14ac:dyDescent="0.5">
      <c r="B29" s="63" t="s">
        <v>606</v>
      </c>
      <c r="C29" s="63"/>
      <c r="D29" s="63"/>
      <c r="E29" s="64"/>
      <c r="F29" s="63"/>
      <c r="G29" s="41"/>
    </row>
    <row r="30" spans="2:9" s="48" customFormat="1" ht="23" x14ac:dyDescent="0.5">
      <c r="B30" s="63" t="s">
        <v>583</v>
      </c>
      <c r="C30" s="63"/>
      <c r="D30" s="63"/>
      <c r="E30" s="64"/>
      <c r="F30" s="63"/>
      <c r="G30" s="41"/>
    </row>
    <row r="31" spans="2:9" s="48" customFormat="1" ht="23" x14ac:dyDescent="0.5">
      <c r="B31" s="62" t="s">
        <v>607</v>
      </c>
      <c r="C31" s="63"/>
      <c r="D31" s="63"/>
      <c r="E31" s="64"/>
      <c r="F31" s="63"/>
      <c r="G31" s="41"/>
    </row>
    <row r="32" spans="2:9" s="48" customFormat="1" ht="23" x14ac:dyDescent="0.5">
      <c r="B32" s="63" t="s">
        <v>585</v>
      </c>
      <c r="C32" s="63"/>
      <c r="D32" s="63"/>
      <c r="E32" s="64"/>
      <c r="F32" s="63"/>
      <c r="G32" s="41"/>
    </row>
    <row r="33" spans="2:7" s="48" customFormat="1" ht="23" x14ac:dyDescent="0.5">
      <c r="B33" s="63"/>
      <c r="C33" s="63" t="s">
        <v>586</v>
      </c>
      <c r="D33" s="63"/>
      <c r="E33" s="64"/>
      <c r="F33" s="63"/>
      <c r="G33" s="41"/>
    </row>
    <row r="34" spans="2:7" s="48" customFormat="1" ht="23" x14ac:dyDescent="0.5">
      <c r="B34" s="63"/>
      <c r="C34" s="63"/>
      <c r="D34" s="63"/>
      <c r="E34" s="64"/>
      <c r="F34" s="63"/>
      <c r="G34" s="41"/>
    </row>
    <row r="35" spans="2:7" s="48" customFormat="1" ht="23" x14ac:dyDescent="0.5">
      <c r="B35" s="63" t="s">
        <v>608</v>
      </c>
      <c r="C35" s="63"/>
      <c r="D35" s="63"/>
      <c r="E35" s="64"/>
      <c r="F35" s="64" t="s">
        <v>588</v>
      </c>
      <c r="G35" s="41"/>
    </row>
  </sheetData>
  <mergeCells count="1">
    <mergeCell ref="B2:F2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9FB5-3CCA-40BA-B66C-4E97CF908BAE}">
  <sheetPr>
    <tabColor rgb="FFFFFF00"/>
  </sheetPr>
  <dimension ref="A1:D23"/>
  <sheetViews>
    <sheetView zoomScale="80" zoomScaleNormal="80" workbookViewId="0">
      <selection activeCell="D19" sqref="D19"/>
    </sheetView>
  </sheetViews>
  <sheetFormatPr defaultColWidth="9" defaultRowHeight="18.5" x14ac:dyDescent="0.3"/>
  <cols>
    <col min="1" max="1" width="7.5" style="101" customWidth="1"/>
    <col min="2" max="2" width="110.75" style="101" customWidth="1"/>
    <col min="3" max="3" width="9.08203125" style="101" customWidth="1"/>
    <col min="4" max="4" width="38.5" style="101" customWidth="1"/>
    <col min="5" max="16384" width="9" style="101"/>
  </cols>
  <sheetData>
    <row r="1" spans="1:4" x14ac:dyDescent="0.3">
      <c r="A1" s="100" t="s">
        <v>726</v>
      </c>
    </row>
    <row r="2" spans="1:4" x14ac:dyDescent="0.3">
      <c r="A2" s="101" t="s">
        <v>727</v>
      </c>
    </row>
    <row r="3" spans="1:4" x14ac:dyDescent="0.3">
      <c r="A3" s="101">
        <v>1</v>
      </c>
      <c r="B3" s="101" t="s">
        <v>725</v>
      </c>
    </row>
    <row r="4" spans="1:4" x14ac:dyDescent="0.3">
      <c r="A4" s="101">
        <v>2</v>
      </c>
      <c r="B4" s="101" t="s">
        <v>728</v>
      </c>
    </row>
    <row r="5" spans="1:4" x14ac:dyDescent="0.3">
      <c r="A5" s="101">
        <v>3</v>
      </c>
      <c r="B5" s="101" t="s">
        <v>729</v>
      </c>
    </row>
    <row r="6" spans="1:4" x14ac:dyDescent="0.3">
      <c r="A6" s="100" t="s">
        <v>736</v>
      </c>
    </row>
    <row r="7" spans="1:4" x14ac:dyDescent="0.3">
      <c r="A7" s="101" t="s">
        <v>724</v>
      </c>
    </row>
    <row r="8" spans="1:4" x14ac:dyDescent="0.3">
      <c r="A8" s="101">
        <v>1</v>
      </c>
      <c r="B8" s="101" t="s">
        <v>733</v>
      </c>
    </row>
    <row r="9" spans="1:4" x14ac:dyDescent="0.3">
      <c r="A9" s="101">
        <v>2</v>
      </c>
      <c r="B9" s="101" t="s">
        <v>730</v>
      </c>
    </row>
    <row r="10" spans="1:4" x14ac:dyDescent="0.3">
      <c r="A10" s="101">
        <v>3</v>
      </c>
      <c r="B10" s="101" t="s">
        <v>731</v>
      </c>
    </row>
    <row r="11" spans="1:4" x14ac:dyDescent="0.3">
      <c r="A11" s="101">
        <v>4</v>
      </c>
      <c r="B11" s="101" t="s">
        <v>732</v>
      </c>
    </row>
    <row r="12" spans="1:4" x14ac:dyDescent="0.3">
      <c r="A12" s="101">
        <v>5</v>
      </c>
      <c r="B12" s="101" t="s">
        <v>734</v>
      </c>
    </row>
    <row r="13" spans="1:4" x14ac:dyDescent="0.3">
      <c r="A13" s="101">
        <v>6</v>
      </c>
      <c r="B13" s="101" t="s">
        <v>735</v>
      </c>
    </row>
    <row r="14" spans="1:4" x14ac:dyDescent="0.3">
      <c r="A14" s="102" t="s">
        <v>753</v>
      </c>
      <c r="B14" s="102" t="s">
        <v>754</v>
      </c>
      <c r="C14" s="102" t="s">
        <v>757</v>
      </c>
      <c r="D14" s="102"/>
    </row>
    <row r="15" spans="1:4" ht="19.5" x14ac:dyDescent="0.3">
      <c r="A15" s="103"/>
      <c r="B15" s="104" t="s">
        <v>609</v>
      </c>
      <c r="C15" s="105"/>
      <c r="D15" s="101" t="s">
        <v>758</v>
      </c>
    </row>
    <row r="16" spans="1:4" ht="19.5" x14ac:dyDescent="0.3">
      <c r="A16" s="103"/>
      <c r="B16" s="106" t="s">
        <v>610</v>
      </c>
      <c r="C16" s="107"/>
      <c r="D16" s="101" t="s">
        <v>759</v>
      </c>
    </row>
    <row r="17" spans="1:4" ht="19.5" x14ac:dyDescent="0.3">
      <c r="A17" s="103"/>
      <c r="B17" s="103" t="s">
        <v>611</v>
      </c>
      <c r="C17" s="108"/>
      <c r="D17" s="101" t="s">
        <v>778</v>
      </c>
    </row>
    <row r="18" spans="1:4" ht="19.5" x14ac:dyDescent="0.3">
      <c r="A18" s="103"/>
      <c r="B18" s="103" t="s">
        <v>612</v>
      </c>
      <c r="C18" s="109"/>
      <c r="D18" s="101" t="s">
        <v>760</v>
      </c>
    </row>
    <row r="19" spans="1:4" ht="19.5" x14ac:dyDescent="0.3">
      <c r="A19" s="103"/>
      <c r="B19" s="106" t="s">
        <v>613</v>
      </c>
      <c r="C19" s="103"/>
    </row>
    <row r="20" spans="1:4" ht="19.5" x14ac:dyDescent="0.3">
      <c r="A20" s="103"/>
      <c r="B20" s="103" t="s">
        <v>614</v>
      </c>
      <c r="C20" s="103"/>
    </row>
    <row r="21" spans="1:4" ht="19.5" x14ac:dyDescent="0.3">
      <c r="A21" s="103"/>
      <c r="B21" s="103" t="s">
        <v>586</v>
      </c>
      <c r="C21" s="103"/>
    </row>
    <row r="23" spans="1:4" x14ac:dyDescent="0.3">
      <c r="A23" s="102" t="s">
        <v>755</v>
      </c>
      <c r="B23" s="102" t="s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E8E8-6288-43A6-806D-1A6449BA9628}">
  <sheetPr>
    <tabColor rgb="FFFFFF00"/>
  </sheetPr>
  <dimension ref="A1:S296"/>
  <sheetViews>
    <sheetView showGridLines="0" tabSelected="1" topLeftCell="A23" zoomScale="120" zoomScaleNormal="120" workbookViewId="0">
      <selection activeCell="C30" sqref="C30"/>
    </sheetView>
  </sheetViews>
  <sheetFormatPr defaultColWidth="9" defaultRowHeight="20" x14ac:dyDescent="0.6"/>
  <cols>
    <col min="1" max="1" width="8.08203125" style="88" customWidth="1"/>
    <col min="2" max="2" width="22.58203125" style="88" customWidth="1"/>
    <col min="3" max="3" width="8.33203125" style="88" customWidth="1"/>
    <col min="4" max="4" width="8.83203125" style="88" customWidth="1"/>
    <col min="5" max="5" width="10.83203125" style="88" customWidth="1"/>
    <col min="6" max="6" width="28.83203125" style="88" customWidth="1"/>
    <col min="7" max="7" width="11.08203125" style="88" customWidth="1"/>
    <col min="8" max="9" width="10.83203125" style="88" customWidth="1"/>
    <col min="10" max="10" width="76.75" style="88" customWidth="1"/>
    <col min="11" max="12" width="7.75" style="88" customWidth="1"/>
    <col min="13" max="13" width="5.83203125" style="88" customWidth="1"/>
    <col min="14" max="14" width="9.58203125" style="88" customWidth="1"/>
    <col min="15" max="15" width="7.83203125" style="88" customWidth="1"/>
    <col min="16" max="16" width="11.25" style="88" customWidth="1"/>
    <col min="17" max="17" width="9" style="88"/>
    <col min="18" max="18" width="4.83203125" style="88" customWidth="1"/>
    <col min="19" max="16384" width="9" style="88"/>
  </cols>
  <sheetData>
    <row r="1" spans="1:19" ht="29" x14ac:dyDescent="0.9">
      <c r="A1" s="96" t="s">
        <v>752</v>
      </c>
    </row>
    <row r="2" spans="1:19" ht="23.25" customHeight="1" x14ac:dyDescent="0.6">
      <c r="A2" s="123" t="s">
        <v>751</v>
      </c>
      <c r="B2" s="125" t="s">
        <v>3</v>
      </c>
      <c r="C2" s="125" t="s">
        <v>5</v>
      </c>
      <c r="D2" s="127" t="s">
        <v>6</v>
      </c>
      <c r="E2" s="125" t="s">
        <v>723</v>
      </c>
      <c r="F2" s="129" t="s">
        <v>737</v>
      </c>
      <c r="G2" s="129" t="s">
        <v>805</v>
      </c>
      <c r="H2" s="129" t="s">
        <v>738</v>
      </c>
      <c r="I2" s="129" t="s">
        <v>739</v>
      </c>
      <c r="J2" s="129" t="s">
        <v>740</v>
      </c>
      <c r="K2" s="122" t="s">
        <v>749</v>
      </c>
      <c r="L2" s="122"/>
      <c r="M2" s="122" t="s">
        <v>742</v>
      </c>
      <c r="N2" s="122"/>
      <c r="O2" s="122"/>
      <c r="P2" s="89" t="s">
        <v>621</v>
      </c>
      <c r="Q2" s="89" t="s">
        <v>747</v>
      </c>
    </row>
    <row r="3" spans="1:19" ht="23.25" customHeight="1" x14ac:dyDescent="0.6">
      <c r="A3" s="124"/>
      <c r="B3" s="126"/>
      <c r="C3" s="126"/>
      <c r="D3" s="128"/>
      <c r="E3" s="126"/>
      <c r="F3" s="130"/>
      <c r="G3" s="130"/>
      <c r="H3" s="130"/>
      <c r="I3" s="130"/>
      <c r="J3" s="130"/>
      <c r="K3" s="89" t="s">
        <v>750</v>
      </c>
      <c r="L3" s="89" t="s">
        <v>741</v>
      </c>
      <c r="M3" s="89" t="s">
        <v>743</v>
      </c>
      <c r="N3" s="89" t="s">
        <v>745</v>
      </c>
      <c r="O3" s="89" t="s">
        <v>744</v>
      </c>
      <c r="P3" s="89" t="s">
        <v>746</v>
      </c>
      <c r="Q3" s="90"/>
    </row>
    <row r="4" spans="1:19" ht="23.25" customHeight="1" x14ac:dyDescent="0.6">
      <c r="A4" s="97" t="s">
        <v>761</v>
      </c>
      <c r="B4" s="95" t="s">
        <v>802</v>
      </c>
      <c r="C4" s="92"/>
      <c r="D4" s="93"/>
      <c r="E4" s="99">
        <v>212666</v>
      </c>
      <c r="F4" s="94" t="s">
        <v>809</v>
      </c>
      <c r="G4" s="94"/>
      <c r="H4" s="98"/>
      <c r="I4" s="98"/>
      <c r="J4" s="98" t="s">
        <v>803</v>
      </c>
      <c r="K4" s="98"/>
      <c r="L4" s="98"/>
      <c r="M4" s="98"/>
      <c r="N4" s="98"/>
      <c r="O4" s="98"/>
      <c r="P4" s="98" t="s">
        <v>765</v>
      </c>
      <c r="Q4" s="98"/>
      <c r="S4" s="88" t="s">
        <v>748</v>
      </c>
    </row>
    <row r="5" spans="1:19" ht="23.25" customHeight="1" x14ac:dyDescent="0.6">
      <c r="A5" s="97" t="s">
        <v>766</v>
      </c>
      <c r="B5" s="95" t="s">
        <v>804</v>
      </c>
      <c r="C5" s="92"/>
      <c r="D5" s="93"/>
      <c r="E5" s="99">
        <v>215286</v>
      </c>
      <c r="F5" s="94" t="s">
        <v>810</v>
      </c>
      <c r="G5" s="94" t="s">
        <v>806</v>
      </c>
      <c r="H5" s="98"/>
      <c r="I5" s="98"/>
      <c r="J5" s="98" t="s">
        <v>807</v>
      </c>
      <c r="K5" s="98"/>
      <c r="L5" s="98"/>
      <c r="M5" s="98"/>
      <c r="N5" s="98"/>
      <c r="O5" s="98"/>
      <c r="P5" s="98" t="s">
        <v>765</v>
      </c>
      <c r="Q5" s="98"/>
    </row>
    <row r="6" spans="1:19" ht="23.25" customHeight="1" x14ac:dyDescent="0.6">
      <c r="A6" s="97" t="s">
        <v>770</v>
      </c>
      <c r="B6" s="95" t="s">
        <v>808</v>
      </c>
      <c r="C6" s="92"/>
      <c r="D6" s="93"/>
      <c r="E6" s="99">
        <v>219307</v>
      </c>
      <c r="F6" s="94" t="s">
        <v>811</v>
      </c>
      <c r="G6" s="94"/>
      <c r="H6" s="98"/>
      <c r="I6" s="98"/>
      <c r="J6" s="98" t="s">
        <v>812</v>
      </c>
      <c r="K6" s="98"/>
      <c r="L6" s="98"/>
      <c r="M6" s="98"/>
      <c r="N6" s="98"/>
      <c r="O6" s="98"/>
      <c r="P6" s="98" t="s">
        <v>765</v>
      </c>
      <c r="Q6" s="98"/>
    </row>
    <row r="7" spans="1:19" ht="23.25" customHeight="1" x14ac:dyDescent="0.6">
      <c r="A7" s="97" t="s">
        <v>771</v>
      </c>
      <c r="B7" s="95" t="s">
        <v>813</v>
      </c>
      <c r="C7" s="92"/>
      <c r="D7" s="93"/>
      <c r="E7" s="99">
        <v>219111</v>
      </c>
      <c r="F7" s="94" t="s">
        <v>814</v>
      </c>
      <c r="G7" s="94"/>
      <c r="H7" s="98"/>
      <c r="I7" s="98"/>
      <c r="J7" s="98" t="s">
        <v>815</v>
      </c>
      <c r="K7" s="98"/>
      <c r="L7" s="98"/>
      <c r="M7" s="98"/>
      <c r="N7" s="98"/>
      <c r="O7" s="98"/>
      <c r="P7" s="98" t="s">
        <v>765</v>
      </c>
      <c r="Q7" s="98"/>
    </row>
    <row r="8" spans="1:19" ht="23.25" customHeight="1" x14ac:dyDescent="0.6">
      <c r="A8" s="97" t="s">
        <v>819</v>
      </c>
      <c r="B8" s="95" t="s">
        <v>816</v>
      </c>
      <c r="C8" s="92"/>
      <c r="D8" s="93"/>
      <c r="E8" s="99">
        <v>216471</v>
      </c>
      <c r="F8" s="94" t="s">
        <v>817</v>
      </c>
      <c r="G8" s="94"/>
      <c r="H8" s="98"/>
      <c r="I8" s="98"/>
      <c r="J8" s="98" t="s">
        <v>818</v>
      </c>
      <c r="K8" s="98"/>
      <c r="L8" s="98"/>
      <c r="M8" s="98"/>
      <c r="N8" s="98"/>
      <c r="O8" s="98"/>
      <c r="P8" s="98" t="s">
        <v>765</v>
      </c>
      <c r="Q8" s="98"/>
    </row>
    <row r="9" spans="1:19" ht="23.25" customHeight="1" x14ac:dyDescent="0.6">
      <c r="A9" s="97" t="s">
        <v>838</v>
      </c>
      <c r="B9" s="95" t="s">
        <v>820</v>
      </c>
      <c r="C9" s="92"/>
      <c r="D9" s="93"/>
      <c r="E9" s="99">
        <v>219400</v>
      </c>
      <c r="F9" s="94" t="s">
        <v>821</v>
      </c>
      <c r="G9" s="94"/>
      <c r="H9" s="98"/>
      <c r="I9" s="98"/>
      <c r="J9" s="98" t="s">
        <v>822</v>
      </c>
      <c r="K9" s="98"/>
      <c r="L9" s="98"/>
      <c r="M9" s="98"/>
      <c r="N9" s="98"/>
      <c r="O9" s="98"/>
      <c r="P9" s="98" t="s">
        <v>765</v>
      </c>
      <c r="Q9" s="98"/>
    </row>
    <row r="10" spans="1:19" ht="23.25" customHeight="1" x14ac:dyDescent="0.6">
      <c r="A10" s="97" t="s">
        <v>839</v>
      </c>
      <c r="B10" s="95" t="s">
        <v>823</v>
      </c>
      <c r="C10" s="92"/>
      <c r="D10" s="93"/>
      <c r="E10" s="99">
        <v>218486</v>
      </c>
      <c r="F10" s="94" t="s">
        <v>824</v>
      </c>
      <c r="G10" s="94"/>
      <c r="H10" s="98"/>
      <c r="I10" s="98"/>
      <c r="J10" s="98" t="s">
        <v>825</v>
      </c>
      <c r="K10" s="98"/>
      <c r="L10" s="98"/>
      <c r="M10" s="98"/>
      <c r="N10" s="98"/>
      <c r="O10" s="98"/>
      <c r="P10" s="98" t="s">
        <v>765</v>
      </c>
      <c r="Q10" s="98"/>
    </row>
    <row r="11" spans="1:19" ht="23.25" customHeight="1" x14ac:dyDescent="0.6">
      <c r="A11" s="97" t="s">
        <v>840</v>
      </c>
      <c r="B11" s="95" t="s">
        <v>826</v>
      </c>
      <c r="C11" s="92"/>
      <c r="D11" s="93"/>
      <c r="E11" s="99">
        <v>216896</v>
      </c>
      <c r="F11" s="94" t="s">
        <v>827</v>
      </c>
      <c r="G11" s="94"/>
      <c r="H11" s="98"/>
      <c r="I11" s="98"/>
      <c r="J11" s="98" t="s">
        <v>828</v>
      </c>
      <c r="K11" s="98"/>
      <c r="L11" s="98"/>
      <c r="M11" s="98"/>
      <c r="N11" s="98"/>
      <c r="O11" s="98"/>
      <c r="P11" s="98" t="s">
        <v>765</v>
      </c>
      <c r="Q11" s="98"/>
    </row>
    <row r="12" spans="1:19" s="119" customFormat="1" ht="23.25" customHeight="1" x14ac:dyDescent="0.6">
      <c r="A12" s="112" t="s">
        <v>841</v>
      </c>
      <c r="B12" s="113" t="s">
        <v>829</v>
      </c>
      <c r="C12" s="114"/>
      <c r="D12" s="115"/>
      <c r="E12" s="116">
        <v>214495</v>
      </c>
      <c r="F12" s="117" t="s">
        <v>830</v>
      </c>
      <c r="G12" s="117"/>
      <c r="H12" s="118"/>
      <c r="I12" s="118"/>
      <c r="J12" s="118" t="s">
        <v>831</v>
      </c>
      <c r="K12" s="118"/>
      <c r="L12" s="118"/>
      <c r="M12" s="118"/>
      <c r="N12" s="118"/>
      <c r="O12" s="118"/>
      <c r="P12" s="118" t="s">
        <v>1302</v>
      </c>
      <c r="Q12" s="118"/>
    </row>
    <row r="13" spans="1:19" ht="23.25" customHeight="1" x14ac:dyDescent="0.6">
      <c r="A13" s="97" t="s">
        <v>842</v>
      </c>
      <c r="B13" s="95" t="s">
        <v>832</v>
      </c>
      <c r="C13" s="92"/>
      <c r="D13" s="93"/>
      <c r="E13" s="99">
        <v>218014</v>
      </c>
      <c r="F13" s="94" t="s">
        <v>833</v>
      </c>
      <c r="G13" s="94"/>
      <c r="H13" s="98"/>
      <c r="I13" s="98"/>
      <c r="J13" s="98" t="s">
        <v>834</v>
      </c>
      <c r="K13" s="98"/>
      <c r="L13" s="98"/>
      <c r="M13" s="98"/>
      <c r="N13" s="98"/>
      <c r="O13" s="98"/>
      <c r="P13" s="98" t="s">
        <v>765</v>
      </c>
      <c r="Q13" s="98"/>
    </row>
    <row r="14" spans="1:19" ht="23.25" customHeight="1" x14ac:dyDescent="0.6">
      <c r="A14" s="97" t="s">
        <v>843</v>
      </c>
      <c r="B14" s="95" t="s">
        <v>835</v>
      </c>
      <c r="C14" s="92"/>
      <c r="D14" s="93"/>
      <c r="E14" s="99">
        <v>221199</v>
      </c>
      <c r="F14" s="94" t="s">
        <v>836</v>
      </c>
      <c r="G14" s="94"/>
      <c r="H14" s="98"/>
      <c r="I14" s="98"/>
      <c r="J14" s="98" t="s">
        <v>837</v>
      </c>
      <c r="K14" s="98"/>
      <c r="L14" s="98"/>
      <c r="M14" s="98"/>
      <c r="N14" s="98"/>
      <c r="O14" s="98"/>
      <c r="P14" s="98" t="s">
        <v>765</v>
      </c>
      <c r="Q14" s="98"/>
    </row>
    <row r="15" spans="1:19" s="119" customFormat="1" ht="23.25" customHeight="1" x14ac:dyDescent="0.6">
      <c r="A15" s="112" t="s">
        <v>1183</v>
      </c>
      <c r="B15" s="113" t="s">
        <v>844</v>
      </c>
      <c r="C15" s="114"/>
      <c r="D15" s="115"/>
      <c r="E15" s="116">
        <v>218022</v>
      </c>
      <c r="F15" s="117" t="s">
        <v>845</v>
      </c>
      <c r="G15" s="117"/>
      <c r="H15" s="118"/>
      <c r="I15" s="118"/>
      <c r="J15" s="118" t="s">
        <v>846</v>
      </c>
      <c r="K15" s="118"/>
      <c r="L15" s="118"/>
      <c r="M15" s="118"/>
      <c r="N15" s="118"/>
      <c r="O15" s="118"/>
      <c r="P15" s="118" t="s">
        <v>1302</v>
      </c>
      <c r="Q15" s="118"/>
    </row>
    <row r="16" spans="1:19" ht="23.25" customHeight="1" x14ac:dyDescent="0.6">
      <c r="A16" s="97" t="s">
        <v>1184</v>
      </c>
      <c r="B16" s="95" t="s">
        <v>762</v>
      </c>
      <c r="C16" s="92"/>
      <c r="D16" s="93"/>
      <c r="E16" s="99">
        <v>221150</v>
      </c>
      <c r="F16" s="94" t="s">
        <v>763</v>
      </c>
      <c r="G16" s="94"/>
      <c r="H16" s="98"/>
      <c r="I16" s="98"/>
      <c r="J16" s="98" t="s">
        <v>764</v>
      </c>
      <c r="K16" s="98"/>
      <c r="L16" s="98"/>
      <c r="M16" s="98"/>
      <c r="N16" s="98"/>
      <c r="O16" s="98"/>
      <c r="P16" s="98" t="s">
        <v>765</v>
      </c>
      <c r="Q16" s="98"/>
    </row>
    <row r="17" spans="1:17" s="119" customFormat="1" ht="23.25" customHeight="1" x14ac:dyDescent="0.6">
      <c r="A17" s="112" t="s">
        <v>1185</v>
      </c>
      <c r="B17" s="113" t="s">
        <v>847</v>
      </c>
      <c r="C17" s="114"/>
      <c r="D17" s="115"/>
      <c r="E17" s="116">
        <v>214845</v>
      </c>
      <c r="F17" s="117"/>
      <c r="G17" s="117"/>
      <c r="H17" s="118"/>
      <c r="I17" s="118"/>
      <c r="J17" s="118" t="s">
        <v>848</v>
      </c>
      <c r="K17" s="118"/>
      <c r="L17" s="118"/>
      <c r="M17" s="118"/>
      <c r="N17" s="118"/>
      <c r="O17" s="118"/>
      <c r="P17" s="118" t="s">
        <v>1302</v>
      </c>
      <c r="Q17" s="118"/>
    </row>
    <row r="18" spans="1:17" ht="23.25" customHeight="1" x14ac:dyDescent="0.6">
      <c r="A18" s="97" t="s">
        <v>1186</v>
      </c>
      <c r="B18" s="95" t="s">
        <v>849</v>
      </c>
      <c r="C18" s="92"/>
      <c r="D18" s="93"/>
      <c r="E18" s="99">
        <v>212464</v>
      </c>
      <c r="F18" s="94" t="s">
        <v>850</v>
      </c>
      <c r="G18" s="94"/>
      <c r="H18" s="98"/>
      <c r="I18" s="98"/>
      <c r="J18" s="98" t="s">
        <v>851</v>
      </c>
      <c r="K18" s="98"/>
      <c r="L18" s="98"/>
      <c r="M18" s="98"/>
      <c r="N18" s="98"/>
      <c r="O18" s="98"/>
      <c r="P18" s="98" t="s">
        <v>765</v>
      </c>
      <c r="Q18" s="98"/>
    </row>
    <row r="19" spans="1:17" ht="23.25" customHeight="1" x14ac:dyDescent="0.6">
      <c r="A19" s="112" t="s">
        <v>1187</v>
      </c>
      <c r="B19" s="113" t="s">
        <v>852</v>
      </c>
      <c r="C19" s="114"/>
      <c r="D19" s="115"/>
      <c r="E19" s="116">
        <v>214483</v>
      </c>
      <c r="F19" s="117" t="s">
        <v>853</v>
      </c>
      <c r="G19" s="117"/>
      <c r="H19" s="118"/>
      <c r="I19" s="118"/>
      <c r="J19" s="118" t="s">
        <v>854</v>
      </c>
      <c r="K19" s="118"/>
      <c r="L19" s="118"/>
      <c r="M19" s="118"/>
      <c r="N19" s="118"/>
      <c r="O19" s="118"/>
      <c r="P19" s="118" t="s">
        <v>1302</v>
      </c>
      <c r="Q19" s="118"/>
    </row>
    <row r="20" spans="1:17" ht="23.25" customHeight="1" x14ac:dyDescent="0.6">
      <c r="A20" s="97" t="s">
        <v>1188</v>
      </c>
      <c r="B20" s="95" t="s">
        <v>855</v>
      </c>
      <c r="C20" s="92"/>
      <c r="D20" s="93"/>
      <c r="E20" s="99">
        <v>219598</v>
      </c>
      <c r="F20" s="94" t="s">
        <v>856</v>
      </c>
      <c r="G20" s="94"/>
      <c r="H20" s="98"/>
      <c r="I20" s="98"/>
      <c r="J20" s="98" t="s">
        <v>857</v>
      </c>
      <c r="K20" s="98"/>
      <c r="L20" s="98"/>
      <c r="M20" s="98"/>
      <c r="N20" s="98"/>
      <c r="O20" s="98"/>
      <c r="P20" s="98" t="s">
        <v>765</v>
      </c>
      <c r="Q20" s="98"/>
    </row>
    <row r="21" spans="1:17" ht="23.25" customHeight="1" x14ac:dyDescent="0.6">
      <c r="A21" s="97" t="s">
        <v>1189</v>
      </c>
      <c r="B21" s="95" t="s">
        <v>858</v>
      </c>
      <c r="C21" s="92"/>
      <c r="D21" s="93"/>
      <c r="E21" s="99">
        <v>217367</v>
      </c>
      <c r="F21" s="94" t="s">
        <v>859</v>
      </c>
      <c r="G21" s="94"/>
      <c r="H21" s="98"/>
      <c r="I21" s="98"/>
      <c r="J21" s="98" t="s">
        <v>860</v>
      </c>
      <c r="K21" s="98"/>
      <c r="L21" s="98"/>
      <c r="M21" s="98"/>
      <c r="N21" s="98"/>
      <c r="O21" s="98"/>
      <c r="P21" s="98" t="s">
        <v>765</v>
      </c>
      <c r="Q21" s="98"/>
    </row>
    <row r="22" spans="1:17" ht="23.25" customHeight="1" x14ac:dyDescent="0.6">
      <c r="A22" s="97" t="s">
        <v>1190</v>
      </c>
      <c r="B22" s="95" t="s">
        <v>1163</v>
      </c>
      <c r="C22" s="92"/>
      <c r="D22" s="93"/>
      <c r="E22" s="99">
        <v>220348</v>
      </c>
      <c r="F22" s="94" t="s">
        <v>1164</v>
      </c>
      <c r="G22" s="94"/>
      <c r="H22" s="98"/>
      <c r="I22" s="98"/>
      <c r="J22" s="98" t="s">
        <v>1165</v>
      </c>
      <c r="K22" s="98"/>
      <c r="L22" s="98"/>
      <c r="M22" s="98"/>
      <c r="N22" s="98"/>
      <c r="O22" s="98"/>
      <c r="P22" s="98" t="s">
        <v>765</v>
      </c>
      <c r="Q22" s="98"/>
    </row>
    <row r="23" spans="1:17" ht="23.25" customHeight="1" x14ac:dyDescent="0.6">
      <c r="A23" s="97" t="s">
        <v>1191</v>
      </c>
      <c r="B23" s="95" t="s">
        <v>861</v>
      </c>
      <c r="C23" s="92"/>
      <c r="D23" s="93"/>
      <c r="E23" s="99">
        <v>218513</v>
      </c>
      <c r="F23" s="94" t="s">
        <v>862</v>
      </c>
      <c r="G23" s="94"/>
      <c r="H23" s="98"/>
      <c r="I23" s="98"/>
      <c r="J23" s="98" t="s">
        <v>863</v>
      </c>
      <c r="K23" s="98"/>
      <c r="L23" s="98"/>
      <c r="M23" s="98"/>
      <c r="N23" s="98"/>
      <c r="O23" s="98"/>
      <c r="P23" s="98" t="s">
        <v>765</v>
      </c>
      <c r="Q23" s="98"/>
    </row>
    <row r="24" spans="1:17" ht="23.25" customHeight="1" x14ac:dyDescent="0.6">
      <c r="A24" s="97" t="s">
        <v>1192</v>
      </c>
      <c r="B24" s="95" t="s">
        <v>772</v>
      </c>
      <c r="C24" s="92"/>
      <c r="D24" s="93"/>
      <c r="E24" s="99">
        <v>220038</v>
      </c>
      <c r="F24" s="94" t="s">
        <v>773</v>
      </c>
      <c r="G24" s="94"/>
      <c r="H24" s="98"/>
      <c r="I24" s="98"/>
      <c r="J24" s="98" t="s">
        <v>774</v>
      </c>
      <c r="K24" s="98"/>
      <c r="L24" s="98"/>
      <c r="M24" s="98"/>
      <c r="N24" s="98"/>
      <c r="O24" s="98"/>
      <c r="P24" s="98" t="s">
        <v>765</v>
      </c>
      <c r="Q24" s="98"/>
    </row>
    <row r="25" spans="1:17" ht="23.25" customHeight="1" x14ac:dyDescent="0.6">
      <c r="A25" s="97" t="s">
        <v>1193</v>
      </c>
      <c r="B25" s="95" t="s">
        <v>864</v>
      </c>
      <c r="C25" s="92"/>
      <c r="D25" s="93"/>
      <c r="E25" s="99">
        <v>215874</v>
      </c>
      <c r="F25" s="94" t="s">
        <v>865</v>
      </c>
      <c r="G25" s="94"/>
      <c r="H25" s="98"/>
      <c r="I25" s="98"/>
      <c r="J25" s="98" t="s">
        <v>866</v>
      </c>
      <c r="K25" s="98"/>
      <c r="L25" s="98"/>
      <c r="M25" s="98"/>
      <c r="N25" s="98"/>
      <c r="O25" s="98"/>
      <c r="P25" s="98" t="s">
        <v>765</v>
      </c>
      <c r="Q25" s="98"/>
    </row>
    <row r="26" spans="1:17" s="119" customFormat="1" ht="23.25" customHeight="1" x14ac:dyDescent="0.6">
      <c r="A26" s="112" t="s">
        <v>1194</v>
      </c>
      <c r="B26" s="113" t="s">
        <v>868</v>
      </c>
      <c r="C26" s="114"/>
      <c r="D26" s="115"/>
      <c r="E26" s="116">
        <v>212233</v>
      </c>
      <c r="F26" s="117" t="s">
        <v>869</v>
      </c>
      <c r="G26" s="117"/>
      <c r="H26" s="118"/>
      <c r="I26" s="118"/>
      <c r="J26" s="118" t="s">
        <v>870</v>
      </c>
      <c r="K26" s="118"/>
      <c r="L26" s="118"/>
      <c r="M26" s="118"/>
      <c r="N26" s="118"/>
      <c r="O26" s="118"/>
      <c r="P26" s="118" t="s">
        <v>1302</v>
      </c>
      <c r="Q26" s="118"/>
    </row>
    <row r="27" spans="1:17" ht="23.25" customHeight="1" x14ac:dyDescent="0.6">
      <c r="A27" s="97" t="s">
        <v>1195</v>
      </c>
      <c r="B27" s="95" t="s">
        <v>871</v>
      </c>
      <c r="C27" s="92"/>
      <c r="D27" s="93"/>
      <c r="E27" s="99">
        <v>219249</v>
      </c>
      <c r="F27" s="94" t="s">
        <v>872</v>
      </c>
      <c r="G27" s="94"/>
      <c r="H27" s="98"/>
      <c r="I27" s="98"/>
      <c r="J27" s="98" t="s">
        <v>873</v>
      </c>
      <c r="K27" s="98"/>
      <c r="L27" s="98"/>
      <c r="M27" s="98"/>
      <c r="N27" s="98"/>
      <c r="O27" s="98"/>
      <c r="P27" s="98" t="s">
        <v>765</v>
      </c>
      <c r="Q27" s="98"/>
    </row>
    <row r="28" spans="1:17" ht="23.25" customHeight="1" x14ac:dyDescent="0.6">
      <c r="A28" s="97" t="s">
        <v>1196</v>
      </c>
      <c r="B28" s="95" t="s">
        <v>1166</v>
      </c>
      <c r="C28" s="92"/>
      <c r="D28" s="93"/>
      <c r="E28" s="99"/>
      <c r="F28" s="94" t="s">
        <v>1167</v>
      </c>
      <c r="G28" s="94"/>
      <c r="H28" s="98"/>
      <c r="I28" s="98"/>
      <c r="J28" s="98" t="s">
        <v>1168</v>
      </c>
      <c r="K28" s="98"/>
      <c r="L28" s="98"/>
      <c r="M28" s="98"/>
      <c r="N28" s="98"/>
      <c r="O28" s="98"/>
      <c r="P28" s="98" t="s">
        <v>765</v>
      </c>
      <c r="Q28" s="98"/>
    </row>
    <row r="29" spans="1:17" ht="23.25" customHeight="1" x14ac:dyDescent="0.6">
      <c r="A29" s="97" t="s">
        <v>1197</v>
      </c>
      <c r="B29" s="95" t="s">
        <v>874</v>
      </c>
      <c r="C29" s="92"/>
      <c r="D29" s="93"/>
      <c r="E29" s="99">
        <v>216159</v>
      </c>
      <c r="F29" s="94" t="s">
        <v>875</v>
      </c>
      <c r="G29" s="94"/>
      <c r="H29" s="98"/>
      <c r="I29" s="98"/>
      <c r="J29" s="98" t="s">
        <v>876</v>
      </c>
      <c r="K29" s="98"/>
      <c r="L29" s="98"/>
      <c r="M29" s="98"/>
      <c r="N29" s="98"/>
      <c r="O29" s="98"/>
      <c r="P29" s="98" t="s">
        <v>765</v>
      </c>
      <c r="Q29" s="98"/>
    </row>
    <row r="30" spans="1:17" ht="23.25" customHeight="1" x14ac:dyDescent="0.6">
      <c r="A30" s="97" t="s">
        <v>1198</v>
      </c>
      <c r="B30" s="95" t="s">
        <v>877</v>
      </c>
      <c r="C30" s="92"/>
      <c r="D30" s="93"/>
      <c r="E30" s="99">
        <v>216242</v>
      </c>
      <c r="F30" s="94" t="s">
        <v>878</v>
      </c>
      <c r="G30" s="94"/>
      <c r="H30" s="98"/>
      <c r="I30" s="98"/>
      <c r="J30" s="98" t="s">
        <v>879</v>
      </c>
      <c r="K30" s="98"/>
      <c r="L30" s="98"/>
      <c r="M30" s="98"/>
      <c r="N30" s="98"/>
      <c r="O30" s="98"/>
      <c r="P30" s="98" t="s">
        <v>765</v>
      </c>
      <c r="Q30" s="98"/>
    </row>
    <row r="31" spans="1:17" ht="23.25" customHeight="1" x14ac:dyDescent="0.6">
      <c r="A31" s="97" t="s">
        <v>1199</v>
      </c>
      <c r="B31" s="95" t="s">
        <v>880</v>
      </c>
      <c r="C31" s="92"/>
      <c r="D31" s="93"/>
      <c r="E31" s="99">
        <v>211108</v>
      </c>
      <c r="F31" s="94" t="s">
        <v>881</v>
      </c>
      <c r="G31" s="94"/>
      <c r="H31" s="98"/>
      <c r="I31" s="98"/>
      <c r="J31" s="98" t="s">
        <v>882</v>
      </c>
      <c r="K31" s="98"/>
      <c r="L31" s="98"/>
      <c r="M31" s="98"/>
      <c r="N31" s="98"/>
      <c r="O31" s="98"/>
      <c r="P31" s="98" t="s">
        <v>765</v>
      </c>
      <c r="Q31" s="98"/>
    </row>
    <row r="32" spans="1:17" ht="23.25" customHeight="1" x14ac:dyDescent="0.6">
      <c r="A32" s="97" t="s">
        <v>1200</v>
      </c>
      <c r="B32" s="95" t="s">
        <v>883</v>
      </c>
      <c r="C32" s="92"/>
      <c r="D32" s="93"/>
      <c r="E32" s="99">
        <v>216121</v>
      </c>
      <c r="F32" s="94" t="s">
        <v>884</v>
      </c>
      <c r="G32" s="94"/>
      <c r="H32" s="98"/>
      <c r="I32" s="98"/>
      <c r="J32" s="98" t="s">
        <v>885</v>
      </c>
      <c r="K32" s="98"/>
      <c r="L32" s="98"/>
      <c r="M32" s="98"/>
      <c r="N32" s="98"/>
      <c r="O32" s="98"/>
      <c r="P32" s="98" t="s">
        <v>765</v>
      </c>
      <c r="Q32" s="98"/>
    </row>
    <row r="33" spans="1:17" ht="23.25" customHeight="1" x14ac:dyDescent="0.6">
      <c r="A33" s="112" t="s">
        <v>1201</v>
      </c>
      <c r="B33" s="113" t="s">
        <v>886</v>
      </c>
      <c r="C33" s="114"/>
      <c r="D33" s="115"/>
      <c r="E33" s="116">
        <v>214522</v>
      </c>
      <c r="F33" s="117" t="s">
        <v>887</v>
      </c>
      <c r="G33" s="117"/>
      <c r="H33" s="118"/>
      <c r="I33" s="118"/>
      <c r="J33" s="118" t="s">
        <v>888</v>
      </c>
      <c r="K33" s="118"/>
      <c r="L33" s="118"/>
      <c r="M33" s="118"/>
      <c r="N33" s="118"/>
      <c r="O33" s="118"/>
      <c r="P33" s="118" t="s">
        <v>1302</v>
      </c>
      <c r="Q33" s="118"/>
    </row>
    <row r="34" spans="1:17" s="119" customFormat="1" ht="23.25" customHeight="1" x14ac:dyDescent="0.6">
      <c r="A34" s="112" t="s">
        <v>1202</v>
      </c>
      <c r="B34" s="113" t="s">
        <v>889</v>
      </c>
      <c r="C34" s="114"/>
      <c r="D34" s="115"/>
      <c r="E34" s="116">
        <v>216277</v>
      </c>
      <c r="F34" s="117" t="s">
        <v>890</v>
      </c>
      <c r="G34" s="117"/>
      <c r="H34" s="118"/>
      <c r="I34" s="118"/>
      <c r="J34" s="118" t="s">
        <v>891</v>
      </c>
      <c r="K34" s="118"/>
      <c r="L34" s="118"/>
      <c r="M34" s="118"/>
      <c r="N34" s="118"/>
      <c r="O34" s="118"/>
      <c r="P34" s="118" t="s">
        <v>1302</v>
      </c>
      <c r="Q34" s="118"/>
    </row>
    <row r="35" spans="1:17" s="119" customFormat="1" ht="23.25" customHeight="1" x14ac:dyDescent="0.6">
      <c r="A35" s="112" t="s">
        <v>1203</v>
      </c>
      <c r="B35" s="113" t="s">
        <v>892</v>
      </c>
      <c r="C35" s="114"/>
      <c r="D35" s="115"/>
      <c r="E35" s="116">
        <v>214287</v>
      </c>
      <c r="F35" s="117" t="s">
        <v>893</v>
      </c>
      <c r="G35" s="117"/>
      <c r="H35" s="118"/>
      <c r="I35" s="118"/>
      <c r="J35" s="118" t="s">
        <v>894</v>
      </c>
      <c r="K35" s="118"/>
      <c r="L35" s="118"/>
      <c r="M35" s="118"/>
      <c r="N35" s="118"/>
      <c r="O35" s="118"/>
      <c r="P35" s="118" t="s">
        <v>1302</v>
      </c>
      <c r="Q35" s="118"/>
    </row>
    <row r="36" spans="1:17" ht="23.25" customHeight="1" x14ac:dyDescent="0.6">
      <c r="A36" s="97" t="s">
        <v>1204</v>
      </c>
      <c r="B36" s="95" t="s">
        <v>1149</v>
      </c>
      <c r="C36" s="92"/>
      <c r="D36" s="93"/>
      <c r="E36" s="99">
        <v>219978</v>
      </c>
      <c r="F36" s="94" t="s">
        <v>1150</v>
      </c>
      <c r="G36" s="94"/>
      <c r="H36" s="98"/>
      <c r="I36" s="98"/>
      <c r="J36" s="98" t="s">
        <v>1151</v>
      </c>
      <c r="K36" s="98"/>
      <c r="L36" s="98"/>
      <c r="M36" s="98"/>
      <c r="N36" s="98"/>
      <c r="O36" s="98"/>
      <c r="P36" s="98" t="s">
        <v>765</v>
      </c>
      <c r="Q36" s="98"/>
    </row>
    <row r="37" spans="1:17" ht="23.25" customHeight="1" x14ac:dyDescent="0.6">
      <c r="A37" s="97" t="s">
        <v>1205</v>
      </c>
      <c r="B37" s="95" t="s">
        <v>895</v>
      </c>
      <c r="C37" s="92"/>
      <c r="D37" s="93"/>
      <c r="E37" s="99">
        <v>218039</v>
      </c>
      <c r="F37" s="94" t="s">
        <v>896</v>
      </c>
      <c r="G37" s="94"/>
      <c r="H37" s="98"/>
      <c r="I37" s="98"/>
      <c r="J37" s="98" t="s">
        <v>897</v>
      </c>
      <c r="K37" s="98"/>
      <c r="L37" s="98"/>
      <c r="M37" s="98"/>
      <c r="N37" s="98"/>
      <c r="O37" s="98"/>
      <c r="P37" s="98" t="s">
        <v>765</v>
      </c>
      <c r="Q37" s="98"/>
    </row>
    <row r="38" spans="1:17" ht="23.25" customHeight="1" x14ac:dyDescent="0.6">
      <c r="A38" s="97" t="s">
        <v>1206</v>
      </c>
      <c r="B38" s="95" t="s">
        <v>767</v>
      </c>
      <c r="C38" s="92"/>
      <c r="D38" s="93"/>
      <c r="E38" s="99">
        <v>220021</v>
      </c>
      <c r="F38" s="94" t="s">
        <v>768</v>
      </c>
      <c r="G38" s="94"/>
      <c r="H38" s="98"/>
      <c r="I38" s="98"/>
      <c r="J38" s="98" t="s">
        <v>769</v>
      </c>
      <c r="K38" s="98"/>
      <c r="L38" s="98"/>
      <c r="M38" s="98"/>
      <c r="N38" s="98"/>
      <c r="O38" s="98"/>
      <c r="P38" s="98" t="s">
        <v>765</v>
      </c>
      <c r="Q38" s="98"/>
    </row>
    <row r="39" spans="1:17" ht="23.25" customHeight="1" x14ac:dyDescent="0.6">
      <c r="A39" s="97" t="s">
        <v>1207</v>
      </c>
      <c r="B39" s="95" t="s">
        <v>898</v>
      </c>
      <c r="C39" s="92"/>
      <c r="D39" s="93"/>
      <c r="E39" s="99">
        <v>219756</v>
      </c>
      <c r="F39" s="94" t="s">
        <v>899</v>
      </c>
      <c r="G39" s="94"/>
      <c r="H39" s="98"/>
      <c r="I39" s="98"/>
      <c r="J39" s="98" t="s">
        <v>900</v>
      </c>
      <c r="K39" s="98"/>
      <c r="L39" s="98"/>
      <c r="M39" s="98"/>
      <c r="N39" s="98"/>
      <c r="O39" s="98"/>
      <c r="P39" s="98" t="s">
        <v>765</v>
      </c>
      <c r="Q39" s="98"/>
    </row>
    <row r="40" spans="1:17" ht="23.25" customHeight="1" x14ac:dyDescent="0.6">
      <c r="A40" s="97" t="s">
        <v>1208</v>
      </c>
      <c r="B40" s="95" t="s">
        <v>901</v>
      </c>
      <c r="C40" s="92"/>
      <c r="D40" s="93"/>
      <c r="E40" s="99">
        <v>217603</v>
      </c>
      <c r="F40" s="94" t="s">
        <v>902</v>
      </c>
      <c r="G40" s="94"/>
      <c r="H40" s="98"/>
      <c r="I40" s="98"/>
      <c r="J40" s="98" t="s">
        <v>903</v>
      </c>
      <c r="K40" s="98"/>
      <c r="L40" s="98"/>
      <c r="M40" s="98"/>
      <c r="N40" s="98"/>
      <c r="O40" s="98"/>
      <c r="P40" s="98" t="s">
        <v>765</v>
      </c>
      <c r="Q40" s="98"/>
    </row>
    <row r="41" spans="1:17" ht="23.25" customHeight="1" x14ac:dyDescent="0.6">
      <c r="A41" s="97" t="s">
        <v>1209</v>
      </c>
      <c r="B41" s="95" t="s">
        <v>904</v>
      </c>
      <c r="C41" s="92"/>
      <c r="D41" s="93"/>
      <c r="E41" s="99">
        <v>213842</v>
      </c>
      <c r="F41" s="94" t="s">
        <v>905</v>
      </c>
      <c r="G41" s="94"/>
      <c r="H41" s="98"/>
      <c r="I41" s="98"/>
      <c r="J41" s="98" t="s">
        <v>906</v>
      </c>
      <c r="K41" s="98"/>
      <c r="L41" s="98"/>
      <c r="M41" s="98"/>
      <c r="N41" s="98"/>
      <c r="O41" s="98"/>
      <c r="P41" s="98" t="s">
        <v>765</v>
      </c>
      <c r="Q41" s="98"/>
    </row>
    <row r="42" spans="1:17" ht="23.25" customHeight="1" x14ac:dyDescent="0.6">
      <c r="A42" s="97" t="s">
        <v>1210</v>
      </c>
      <c r="B42" s="95" t="s">
        <v>907</v>
      </c>
      <c r="C42" s="92"/>
      <c r="D42" s="93"/>
      <c r="E42" s="99">
        <v>216085</v>
      </c>
      <c r="F42" s="94" t="s">
        <v>908</v>
      </c>
      <c r="G42" s="94"/>
      <c r="H42" s="98"/>
      <c r="I42" s="98"/>
      <c r="J42" s="98" t="s">
        <v>909</v>
      </c>
      <c r="K42" s="98"/>
      <c r="L42" s="98"/>
      <c r="M42" s="98"/>
      <c r="N42" s="98"/>
      <c r="O42" s="98"/>
      <c r="P42" s="98" t="s">
        <v>765</v>
      </c>
      <c r="Q42" s="98"/>
    </row>
    <row r="43" spans="1:17" ht="23.25" customHeight="1" x14ac:dyDescent="0.6">
      <c r="A43" s="97" t="s">
        <v>1211</v>
      </c>
      <c r="B43" s="95" t="s">
        <v>910</v>
      </c>
      <c r="C43" s="92"/>
      <c r="D43" s="93"/>
      <c r="E43" s="99">
        <v>212534</v>
      </c>
      <c r="F43" s="94" t="s">
        <v>911</v>
      </c>
      <c r="G43" s="94"/>
      <c r="H43" s="98"/>
      <c r="I43" s="98"/>
      <c r="J43" s="98" t="s">
        <v>912</v>
      </c>
      <c r="K43" s="98"/>
      <c r="L43" s="98"/>
      <c r="M43" s="98"/>
      <c r="N43" s="98"/>
      <c r="O43" s="98"/>
      <c r="P43" s="98" t="s">
        <v>765</v>
      </c>
      <c r="Q43" s="98"/>
    </row>
    <row r="44" spans="1:17" ht="23.25" customHeight="1" x14ac:dyDescent="0.6">
      <c r="A44" s="97" t="s">
        <v>1212</v>
      </c>
      <c r="B44" s="95" t="s">
        <v>913</v>
      </c>
      <c r="C44" s="92"/>
      <c r="D44" s="93"/>
      <c r="E44" s="99">
        <v>219352</v>
      </c>
      <c r="F44" s="94" t="s">
        <v>914</v>
      </c>
      <c r="G44" s="94"/>
      <c r="H44" s="98"/>
      <c r="I44" s="98"/>
      <c r="J44" s="98" t="s">
        <v>915</v>
      </c>
      <c r="K44" s="98"/>
      <c r="L44" s="98"/>
      <c r="M44" s="98"/>
      <c r="N44" s="98"/>
      <c r="O44" s="98"/>
      <c r="P44" s="98" t="s">
        <v>765</v>
      </c>
      <c r="Q44" s="98"/>
    </row>
    <row r="45" spans="1:17" s="119" customFormat="1" ht="23.25" customHeight="1" x14ac:dyDescent="0.6">
      <c r="A45" s="112" t="s">
        <v>1213</v>
      </c>
      <c r="B45" s="113" t="s">
        <v>916</v>
      </c>
      <c r="C45" s="114"/>
      <c r="D45" s="115"/>
      <c r="E45" s="116">
        <v>212299</v>
      </c>
      <c r="F45" s="117" t="s">
        <v>917</v>
      </c>
      <c r="G45" s="117"/>
      <c r="H45" s="118"/>
      <c r="I45" s="118"/>
      <c r="J45" s="118" t="s">
        <v>918</v>
      </c>
      <c r="K45" s="118"/>
      <c r="L45" s="118"/>
      <c r="M45" s="118"/>
      <c r="N45" s="118"/>
      <c r="O45" s="118"/>
      <c r="P45" s="118" t="s">
        <v>1302</v>
      </c>
      <c r="Q45" s="118"/>
    </row>
    <row r="46" spans="1:17" ht="23.25" customHeight="1" x14ac:dyDescent="0.6">
      <c r="A46" s="97" t="s">
        <v>1214</v>
      </c>
      <c r="B46" s="95" t="s">
        <v>919</v>
      </c>
      <c r="C46" s="92"/>
      <c r="D46" s="93"/>
      <c r="E46" s="99">
        <v>217462</v>
      </c>
      <c r="F46" s="94" t="s">
        <v>920</v>
      </c>
      <c r="G46" s="94"/>
      <c r="H46" s="98"/>
      <c r="I46" s="98"/>
      <c r="J46" s="98" t="s">
        <v>921</v>
      </c>
      <c r="K46" s="98"/>
      <c r="L46" s="98"/>
      <c r="M46" s="98"/>
      <c r="N46" s="98"/>
      <c r="O46" s="98"/>
      <c r="P46" s="98" t="s">
        <v>765</v>
      </c>
      <c r="Q46" s="98"/>
    </row>
    <row r="47" spans="1:17" s="119" customFormat="1" ht="23.25" customHeight="1" x14ac:dyDescent="0.6">
      <c r="A47" s="112" t="s">
        <v>1215</v>
      </c>
      <c r="B47" s="113" t="s">
        <v>922</v>
      </c>
      <c r="C47" s="114"/>
      <c r="D47" s="115"/>
      <c r="E47" s="116">
        <v>211881</v>
      </c>
      <c r="F47" s="117" t="s">
        <v>923</v>
      </c>
      <c r="G47" s="117"/>
      <c r="H47" s="118"/>
      <c r="I47" s="118"/>
      <c r="J47" s="118" t="s">
        <v>924</v>
      </c>
      <c r="K47" s="118"/>
      <c r="L47" s="118"/>
      <c r="M47" s="118"/>
      <c r="N47" s="118"/>
      <c r="O47" s="118"/>
      <c r="P47" s="118" t="s">
        <v>1302</v>
      </c>
      <c r="Q47" s="118"/>
    </row>
    <row r="48" spans="1:17" ht="23.25" customHeight="1" x14ac:dyDescent="0.6">
      <c r="A48" s="97" t="s">
        <v>1216</v>
      </c>
      <c r="B48" s="95" t="s">
        <v>1143</v>
      </c>
      <c r="C48" s="92"/>
      <c r="D48" s="93"/>
      <c r="E48" s="99">
        <v>219942</v>
      </c>
      <c r="F48" s="94" t="s">
        <v>1144</v>
      </c>
      <c r="G48" s="94"/>
      <c r="H48" s="98"/>
      <c r="I48" s="98"/>
      <c r="J48" s="98" t="s">
        <v>1145</v>
      </c>
      <c r="K48" s="98"/>
      <c r="L48" s="98"/>
      <c r="M48" s="98"/>
      <c r="N48" s="98"/>
      <c r="O48" s="98"/>
      <c r="P48" s="98" t="s">
        <v>765</v>
      </c>
      <c r="Q48" s="98"/>
    </row>
    <row r="49" spans="1:17" s="119" customFormat="1" ht="23.25" customHeight="1" x14ac:dyDescent="0.6">
      <c r="A49" s="112" t="s">
        <v>1217</v>
      </c>
      <c r="B49" s="113" t="s">
        <v>925</v>
      </c>
      <c r="C49" s="114"/>
      <c r="D49" s="115"/>
      <c r="E49" s="116">
        <v>214779</v>
      </c>
      <c r="F49" s="117" t="s">
        <v>926</v>
      </c>
      <c r="G49" s="117"/>
      <c r="H49" s="118"/>
      <c r="I49" s="118"/>
      <c r="J49" s="118" t="s">
        <v>927</v>
      </c>
      <c r="K49" s="118"/>
      <c r="L49" s="118"/>
      <c r="M49" s="118"/>
      <c r="N49" s="118"/>
      <c r="O49" s="118"/>
      <c r="P49" s="118" t="s">
        <v>1302</v>
      </c>
      <c r="Q49" s="118"/>
    </row>
    <row r="50" spans="1:17" ht="23.25" customHeight="1" x14ac:dyDescent="0.6">
      <c r="A50" s="97" t="s">
        <v>1218</v>
      </c>
      <c r="B50" s="95" t="s">
        <v>1146</v>
      </c>
      <c r="C50" s="92"/>
      <c r="D50" s="93"/>
      <c r="E50" s="99"/>
      <c r="F50" s="94" t="s">
        <v>1147</v>
      </c>
      <c r="G50" s="94"/>
      <c r="H50" s="98"/>
      <c r="I50" s="98"/>
      <c r="J50" s="98" t="s">
        <v>1148</v>
      </c>
      <c r="K50" s="98"/>
      <c r="L50" s="98"/>
      <c r="M50" s="98"/>
      <c r="N50" s="98"/>
      <c r="O50" s="98"/>
      <c r="P50" s="98" t="s">
        <v>765</v>
      </c>
      <c r="Q50" s="98"/>
    </row>
    <row r="51" spans="1:17" ht="23.25" customHeight="1" x14ac:dyDescent="0.6">
      <c r="A51" s="112" t="s">
        <v>1219</v>
      </c>
      <c r="B51" s="113" t="s">
        <v>928</v>
      </c>
      <c r="C51" s="114"/>
      <c r="D51" s="115"/>
      <c r="E51" s="116">
        <v>218621</v>
      </c>
      <c r="F51" s="117" t="s">
        <v>929</v>
      </c>
      <c r="G51" s="117"/>
      <c r="H51" s="118"/>
      <c r="I51" s="118"/>
      <c r="J51" s="118" t="s">
        <v>930</v>
      </c>
      <c r="K51" s="118"/>
      <c r="L51" s="118"/>
      <c r="M51" s="118"/>
      <c r="N51" s="118"/>
      <c r="O51" s="118"/>
      <c r="P51" s="118" t="s">
        <v>1302</v>
      </c>
      <c r="Q51" s="118"/>
    </row>
    <row r="52" spans="1:17" ht="23.25" customHeight="1" x14ac:dyDescent="0.6">
      <c r="A52" s="97" t="s">
        <v>1220</v>
      </c>
      <c r="B52" s="95" t="s">
        <v>931</v>
      </c>
      <c r="C52" s="92"/>
      <c r="D52" s="93"/>
      <c r="E52" s="99"/>
      <c r="F52" s="94" t="s">
        <v>932</v>
      </c>
      <c r="G52" s="94"/>
      <c r="H52" s="98"/>
      <c r="I52" s="98"/>
      <c r="J52" s="98" t="s">
        <v>933</v>
      </c>
      <c r="K52" s="98"/>
      <c r="L52" s="98"/>
      <c r="M52" s="98"/>
      <c r="N52" s="98"/>
      <c r="O52" s="98"/>
      <c r="P52" s="98" t="s">
        <v>765</v>
      </c>
      <c r="Q52" s="98"/>
    </row>
    <row r="53" spans="1:17" ht="23.25" customHeight="1" x14ac:dyDescent="0.6">
      <c r="A53" s="97" t="s">
        <v>1221</v>
      </c>
      <c r="B53" s="95" t="s">
        <v>934</v>
      </c>
      <c r="C53" s="92"/>
      <c r="D53" s="93"/>
      <c r="E53" s="99">
        <v>216608</v>
      </c>
      <c r="F53" s="94" t="s">
        <v>935</v>
      </c>
      <c r="G53" s="94"/>
      <c r="H53" s="98"/>
      <c r="I53" s="98"/>
      <c r="J53" s="98" t="s">
        <v>936</v>
      </c>
      <c r="K53" s="98"/>
      <c r="L53" s="98"/>
      <c r="M53" s="98"/>
      <c r="N53" s="98"/>
      <c r="O53" s="98"/>
      <c r="P53" s="98" t="s">
        <v>765</v>
      </c>
      <c r="Q53" s="98"/>
    </row>
    <row r="54" spans="1:17" ht="23.25" customHeight="1" x14ac:dyDescent="0.6">
      <c r="A54" s="97" t="s">
        <v>1222</v>
      </c>
      <c r="B54" s="95" t="s">
        <v>937</v>
      </c>
      <c r="C54" s="92"/>
      <c r="D54" s="93"/>
      <c r="E54" s="99">
        <v>216479</v>
      </c>
      <c r="F54" s="94" t="s">
        <v>938</v>
      </c>
      <c r="G54" s="94"/>
      <c r="H54" s="98"/>
      <c r="I54" s="98"/>
      <c r="J54" s="98" t="s">
        <v>939</v>
      </c>
      <c r="K54" s="98"/>
      <c r="L54" s="98"/>
      <c r="M54" s="98"/>
      <c r="N54" s="98"/>
      <c r="O54" s="98"/>
      <c r="P54" s="98" t="s">
        <v>765</v>
      </c>
      <c r="Q54" s="98"/>
    </row>
    <row r="55" spans="1:17" ht="23.25" customHeight="1" x14ac:dyDescent="0.6">
      <c r="A55" s="97" t="s">
        <v>1223</v>
      </c>
      <c r="B55" s="95" t="s">
        <v>940</v>
      </c>
      <c r="C55" s="92"/>
      <c r="D55" s="93"/>
      <c r="E55" s="99">
        <v>216687</v>
      </c>
      <c r="F55" s="94" t="s">
        <v>941</v>
      </c>
      <c r="G55" s="94"/>
      <c r="H55" s="98"/>
      <c r="I55" s="98"/>
      <c r="J55" s="98" t="s">
        <v>942</v>
      </c>
      <c r="K55" s="98"/>
      <c r="L55" s="98"/>
      <c r="M55" s="98"/>
      <c r="N55" s="98"/>
      <c r="O55" s="98"/>
      <c r="P55" s="98" t="s">
        <v>765</v>
      </c>
      <c r="Q55" s="98"/>
    </row>
    <row r="56" spans="1:17" ht="23.25" customHeight="1" x14ac:dyDescent="0.6">
      <c r="A56" s="97" t="s">
        <v>1224</v>
      </c>
      <c r="B56" s="95" t="s">
        <v>943</v>
      </c>
      <c r="C56" s="92"/>
      <c r="D56" s="93"/>
      <c r="E56" s="99">
        <v>216247</v>
      </c>
      <c r="F56" s="94" t="s">
        <v>945</v>
      </c>
      <c r="G56" s="94"/>
      <c r="H56" s="98"/>
      <c r="I56" s="98"/>
      <c r="J56" s="98" t="s">
        <v>947</v>
      </c>
      <c r="K56" s="98"/>
      <c r="L56" s="98"/>
      <c r="M56" s="98"/>
      <c r="N56" s="98"/>
      <c r="O56" s="98"/>
      <c r="P56" s="98" t="s">
        <v>765</v>
      </c>
      <c r="Q56" s="98"/>
    </row>
    <row r="57" spans="1:17" ht="23.25" customHeight="1" x14ac:dyDescent="0.6">
      <c r="A57" s="97" t="s">
        <v>1225</v>
      </c>
      <c r="B57" s="95" t="s">
        <v>944</v>
      </c>
      <c r="C57" s="92"/>
      <c r="D57" s="93"/>
      <c r="E57" s="99">
        <v>214670</v>
      </c>
      <c r="F57" s="94" t="s">
        <v>946</v>
      </c>
      <c r="G57" s="94"/>
      <c r="H57" s="98"/>
      <c r="I57" s="98"/>
      <c r="J57" s="98" t="s">
        <v>948</v>
      </c>
      <c r="K57" s="98"/>
      <c r="L57" s="98"/>
      <c r="M57" s="98"/>
      <c r="N57" s="98"/>
      <c r="O57" s="98"/>
      <c r="P57" s="98" t="s">
        <v>765</v>
      </c>
      <c r="Q57" s="98"/>
    </row>
    <row r="58" spans="1:17" ht="23.25" customHeight="1" x14ac:dyDescent="0.6">
      <c r="A58" s="97" t="s">
        <v>1226</v>
      </c>
      <c r="B58" s="95" t="s">
        <v>949</v>
      </c>
      <c r="C58" s="92"/>
      <c r="D58" s="93"/>
      <c r="E58" s="99">
        <v>219253</v>
      </c>
      <c r="F58" s="94" t="s">
        <v>950</v>
      </c>
      <c r="G58" s="94"/>
      <c r="H58" s="98"/>
      <c r="I58" s="98"/>
      <c r="J58" s="98" t="s">
        <v>951</v>
      </c>
      <c r="K58" s="98"/>
      <c r="L58" s="98"/>
      <c r="M58" s="98"/>
      <c r="N58" s="98"/>
      <c r="O58" s="98"/>
      <c r="P58" s="98" t="s">
        <v>765</v>
      </c>
      <c r="Q58" s="98"/>
    </row>
    <row r="59" spans="1:17" ht="23.25" customHeight="1" x14ac:dyDescent="0.6">
      <c r="A59" s="97" t="s">
        <v>1227</v>
      </c>
      <c r="B59" s="95" t="s">
        <v>952</v>
      </c>
      <c r="C59" s="92"/>
      <c r="D59" s="93"/>
      <c r="E59" s="99">
        <v>217490</v>
      </c>
      <c r="F59" s="94" t="s">
        <v>953</v>
      </c>
      <c r="G59" s="94"/>
      <c r="H59" s="98"/>
      <c r="I59" s="98"/>
      <c r="J59" s="98" t="s">
        <v>954</v>
      </c>
      <c r="K59" s="98"/>
      <c r="L59" s="98"/>
      <c r="M59" s="98"/>
      <c r="N59" s="98"/>
      <c r="O59" s="98"/>
      <c r="P59" s="98" t="s">
        <v>765</v>
      </c>
      <c r="Q59" s="98"/>
    </row>
    <row r="60" spans="1:17" ht="23.25" customHeight="1" x14ac:dyDescent="0.6">
      <c r="A60" s="97" t="s">
        <v>1228</v>
      </c>
      <c r="B60" s="95" t="s">
        <v>955</v>
      </c>
      <c r="C60" s="92"/>
      <c r="D60" s="93"/>
      <c r="E60" s="99">
        <v>213698</v>
      </c>
      <c r="F60" s="94" t="s">
        <v>956</v>
      </c>
      <c r="G60" s="94"/>
      <c r="H60" s="98"/>
      <c r="I60" s="98"/>
      <c r="J60" s="98" t="s">
        <v>957</v>
      </c>
      <c r="K60" s="98"/>
      <c r="L60" s="98"/>
      <c r="M60" s="98"/>
      <c r="N60" s="98"/>
      <c r="O60" s="98"/>
      <c r="P60" s="98" t="s">
        <v>765</v>
      </c>
      <c r="Q60" s="98"/>
    </row>
    <row r="61" spans="1:17" ht="23.25" customHeight="1" x14ac:dyDescent="0.6">
      <c r="A61" s="97" t="s">
        <v>1229</v>
      </c>
      <c r="B61" s="95" t="s">
        <v>958</v>
      </c>
      <c r="C61" s="92"/>
      <c r="D61" s="93"/>
      <c r="E61" s="99">
        <v>210326</v>
      </c>
      <c r="F61" s="94" t="s">
        <v>959</v>
      </c>
      <c r="G61" s="94"/>
      <c r="H61" s="98"/>
      <c r="I61" s="98"/>
      <c r="J61" s="98" t="s">
        <v>1177</v>
      </c>
      <c r="K61" s="98"/>
      <c r="L61" s="98"/>
      <c r="M61" s="98"/>
      <c r="N61" s="98"/>
      <c r="O61" s="98"/>
      <c r="P61" s="98" t="s">
        <v>765</v>
      </c>
      <c r="Q61" s="98"/>
    </row>
    <row r="62" spans="1:17" ht="23.25" customHeight="1" x14ac:dyDescent="0.6">
      <c r="A62" s="97" t="s">
        <v>1230</v>
      </c>
      <c r="B62" s="95" t="s">
        <v>1160</v>
      </c>
      <c r="C62" s="92"/>
      <c r="D62" s="93"/>
      <c r="E62" s="99">
        <v>220493</v>
      </c>
      <c r="F62" s="94" t="s">
        <v>1161</v>
      </c>
      <c r="G62" s="94"/>
      <c r="H62" s="98"/>
      <c r="I62" s="98"/>
      <c r="J62" s="98" t="s">
        <v>1162</v>
      </c>
      <c r="K62" s="98"/>
      <c r="L62" s="98"/>
      <c r="M62" s="98"/>
      <c r="N62" s="98"/>
      <c r="O62" s="98"/>
      <c r="P62" s="98" t="s">
        <v>765</v>
      </c>
      <c r="Q62" s="98"/>
    </row>
    <row r="63" spans="1:17" ht="23.25" customHeight="1" x14ac:dyDescent="0.6">
      <c r="A63" s="97" t="s">
        <v>1231</v>
      </c>
      <c r="B63" s="95" t="s">
        <v>960</v>
      </c>
      <c r="C63" s="92"/>
      <c r="D63" s="93"/>
      <c r="E63" s="99">
        <v>217536</v>
      </c>
      <c r="F63" s="94" t="s">
        <v>961</v>
      </c>
      <c r="G63" s="94"/>
      <c r="H63" s="98"/>
      <c r="I63" s="98"/>
      <c r="J63" s="98" t="s">
        <v>962</v>
      </c>
      <c r="K63" s="98"/>
      <c r="L63" s="98"/>
      <c r="M63" s="98"/>
      <c r="N63" s="98"/>
      <c r="O63" s="98"/>
      <c r="P63" s="98" t="s">
        <v>765</v>
      </c>
      <c r="Q63" s="98"/>
    </row>
    <row r="64" spans="1:17" ht="23.25" customHeight="1" x14ac:dyDescent="0.6">
      <c r="A64" s="97" t="s">
        <v>1232</v>
      </c>
      <c r="B64" s="95" t="s">
        <v>1180</v>
      </c>
      <c r="C64" s="92"/>
      <c r="D64" s="93"/>
      <c r="E64" s="99"/>
      <c r="F64" s="94" t="s">
        <v>1181</v>
      </c>
      <c r="G64" s="94"/>
      <c r="H64" s="98"/>
      <c r="I64" s="98"/>
      <c r="J64" s="98" t="s">
        <v>1182</v>
      </c>
      <c r="K64" s="98"/>
      <c r="L64" s="98"/>
      <c r="M64" s="98"/>
      <c r="N64" s="98"/>
      <c r="O64" s="98"/>
      <c r="P64" s="98" t="s">
        <v>765</v>
      </c>
      <c r="Q64" s="98"/>
    </row>
    <row r="65" spans="1:17" ht="23.25" customHeight="1" x14ac:dyDescent="0.6">
      <c r="A65" s="97" t="s">
        <v>1233</v>
      </c>
      <c r="B65" s="95" t="s">
        <v>1169</v>
      </c>
      <c r="C65" s="92"/>
      <c r="D65" s="93"/>
      <c r="E65" s="99">
        <v>220934</v>
      </c>
      <c r="F65" s="94" t="s">
        <v>1170</v>
      </c>
      <c r="G65" s="94"/>
      <c r="H65" s="98"/>
      <c r="I65" s="98"/>
      <c r="J65" s="98" t="s">
        <v>1171</v>
      </c>
      <c r="K65" s="98"/>
      <c r="L65" s="98"/>
      <c r="M65" s="98"/>
      <c r="N65" s="98"/>
      <c r="O65" s="98"/>
      <c r="P65" s="98" t="s">
        <v>765</v>
      </c>
      <c r="Q65" s="98"/>
    </row>
    <row r="66" spans="1:17" ht="23.25" customHeight="1" x14ac:dyDescent="0.6">
      <c r="A66" s="97" t="s">
        <v>1234</v>
      </c>
      <c r="B66" s="95" t="s">
        <v>963</v>
      </c>
      <c r="C66" s="92"/>
      <c r="D66" s="93"/>
      <c r="E66" s="99"/>
      <c r="F66" s="94" t="s">
        <v>964</v>
      </c>
      <c r="G66" s="94"/>
      <c r="H66" s="98"/>
      <c r="I66" s="98"/>
      <c r="J66" s="98" t="s">
        <v>965</v>
      </c>
      <c r="K66" s="98"/>
      <c r="L66" s="98"/>
      <c r="M66" s="98"/>
      <c r="N66" s="98"/>
      <c r="O66" s="98"/>
      <c r="P66" s="98" t="s">
        <v>765</v>
      </c>
      <c r="Q66" s="98"/>
    </row>
    <row r="67" spans="1:17" ht="23.25" customHeight="1" x14ac:dyDescent="0.6">
      <c r="A67" s="97" t="s">
        <v>1235</v>
      </c>
      <c r="B67" s="95" t="s">
        <v>966</v>
      </c>
      <c r="C67" s="92"/>
      <c r="D67" s="93"/>
      <c r="E67" s="99">
        <v>218247</v>
      </c>
      <c r="F67" s="94" t="s">
        <v>967</v>
      </c>
      <c r="G67" s="94"/>
      <c r="H67" s="98"/>
      <c r="I67" s="98"/>
      <c r="J67" s="98" t="s">
        <v>968</v>
      </c>
      <c r="K67" s="98"/>
      <c r="L67" s="98"/>
      <c r="M67" s="98"/>
      <c r="N67" s="98"/>
      <c r="O67" s="98"/>
      <c r="P67" s="98" t="s">
        <v>765</v>
      </c>
      <c r="Q67" s="98"/>
    </row>
    <row r="68" spans="1:17" ht="23.25" customHeight="1" x14ac:dyDescent="0.6">
      <c r="A68" s="97" t="s">
        <v>1236</v>
      </c>
      <c r="B68" s="95" t="s">
        <v>969</v>
      </c>
      <c r="C68" s="92"/>
      <c r="D68" s="93"/>
      <c r="E68" s="99">
        <v>216275</v>
      </c>
      <c r="F68" s="94" t="s">
        <v>970</v>
      </c>
      <c r="G68" s="94"/>
      <c r="H68" s="98"/>
      <c r="I68" s="98"/>
      <c r="J68" s="98" t="s">
        <v>971</v>
      </c>
      <c r="K68" s="98"/>
      <c r="L68" s="98"/>
      <c r="M68" s="98"/>
      <c r="N68" s="98"/>
      <c r="O68" s="98"/>
      <c r="P68" s="98" t="s">
        <v>765</v>
      </c>
      <c r="Q68" s="98"/>
    </row>
    <row r="69" spans="1:17" ht="23.25" customHeight="1" x14ac:dyDescent="0.6">
      <c r="A69" s="97" t="s">
        <v>1237</v>
      </c>
      <c r="B69" s="95" t="s">
        <v>972</v>
      </c>
      <c r="C69" s="92"/>
      <c r="D69" s="93"/>
      <c r="E69" s="99">
        <v>214473</v>
      </c>
      <c r="F69" s="94" t="s">
        <v>973</v>
      </c>
      <c r="G69" s="94"/>
      <c r="H69" s="98"/>
      <c r="I69" s="98"/>
      <c r="J69" s="98" t="s">
        <v>974</v>
      </c>
      <c r="K69" s="98"/>
      <c r="L69" s="98"/>
      <c r="M69" s="98"/>
      <c r="N69" s="98"/>
      <c r="O69" s="98"/>
      <c r="P69" s="98" t="s">
        <v>765</v>
      </c>
      <c r="Q69" s="98"/>
    </row>
    <row r="70" spans="1:17" s="119" customFormat="1" ht="23.25" customHeight="1" x14ac:dyDescent="0.6">
      <c r="A70" s="112" t="s">
        <v>1238</v>
      </c>
      <c r="B70" s="113" t="s">
        <v>975</v>
      </c>
      <c r="C70" s="114"/>
      <c r="D70" s="115"/>
      <c r="E70" s="116">
        <v>215911</v>
      </c>
      <c r="F70" s="117" t="s">
        <v>917</v>
      </c>
      <c r="G70" s="117"/>
      <c r="H70" s="118"/>
      <c r="I70" s="118"/>
      <c r="J70" s="118" t="s">
        <v>976</v>
      </c>
      <c r="K70" s="118"/>
      <c r="L70" s="118"/>
      <c r="M70" s="118"/>
      <c r="N70" s="118"/>
      <c r="O70" s="118"/>
      <c r="P70" s="118" t="s">
        <v>1302</v>
      </c>
      <c r="Q70" s="118"/>
    </row>
    <row r="71" spans="1:17" ht="23.25" customHeight="1" x14ac:dyDescent="0.6">
      <c r="A71" s="97" t="s">
        <v>1239</v>
      </c>
      <c r="B71" s="95" t="s">
        <v>977</v>
      </c>
      <c r="C71" s="92"/>
      <c r="D71" s="93"/>
      <c r="E71" s="99">
        <v>216878</v>
      </c>
      <c r="F71" s="94" t="s">
        <v>978</v>
      </c>
      <c r="G71" s="94"/>
      <c r="H71" s="98"/>
      <c r="I71" s="98"/>
      <c r="J71" s="98" t="s">
        <v>979</v>
      </c>
      <c r="K71" s="98"/>
      <c r="L71" s="98"/>
      <c r="M71" s="98"/>
      <c r="N71" s="98"/>
      <c r="O71" s="98"/>
      <c r="P71" s="98" t="s">
        <v>765</v>
      </c>
      <c r="Q71" s="98"/>
    </row>
    <row r="72" spans="1:17" ht="23.25" customHeight="1" x14ac:dyDescent="0.6">
      <c r="A72" s="97" t="s">
        <v>1240</v>
      </c>
      <c r="B72" s="95" t="s">
        <v>980</v>
      </c>
      <c r="C72" s="92"/>
      <c r="D72" s="93"/>
      <c r="E72" s="99"/>
      <c r="F72" s="94" t="s">
        <v>981</v>
      </c>
      <c r="G72" s="94"/>
      <c r="H72" s="98"/>
      <c r="I72" s="98"/>
      <c r="J72" s="98" t="s">
        <v>982</v>
      </c>
      <c r="K72" s="98"/>
      <c r="L72" s="98"/>
      <c r="M72" s="98"/>
      <c r="N72" s="98"/>
      <c r="O72" s="98"/>
      <c r="P72" s="98" t="s">
        <v>765</v>
      </c>
      <c r="Q72" s="98"/>
    </row>
    <row r="73" spans="1:17" ht="23.25" customHeight="1" x14ac:dyDescent="0.6">
      <c r="A73" s="97" t="s">
        <v>1241</v>
      </c>
      <c r="B73" s="95" t="s">
        <v>1175</v>
      </c>
      <c r="C73" s="92"/>
      <c r="D73" s="93"/>
      <c r="E73" s="99">
        <v>221088</v>
      </c>
      <c r="F73" s="94" t="s">
        <v>1301</v>
      </c>
      <c r="G73" s="94"/>
      <c r="H73" s="98"/>
      <c r="I73" s="98"/>
      <c r="J73" s="98" t="s">
        <v>1176</v>
      </c>
      <c r="K73" s="98"/>
      <c r="L73" s="98"/>
      <c r="M73" s="98"/>
      <c r="N73" s="98"/>
      <c r="O73" s="98"/>
      <c r="P73" s="98" t="s">
        <v>765</v>
      </c>
      <c r="Q73" s="98"/>
    </row>
    <row r="74" spans="1:17" ht="23.25" customHeight="1" x14ac:dyDescent="0.6">
      <c r="A74" s="97" t="s">
        <v>1242</v>
      </c>
      <c r="B74" s="95" t="s">
        <v>983</v>
      </c>
      <c r="C74" s="92"/>
      <c r="D74" s="93"/>
      <c r="E74" s="99">
        <v>215246</v>
      </c>
      <c r="F74" s="94" t="s">
        <v>984</v>
      </c>
      <c r="G74" s="94"/>
      <c r="H74" s="98"/>
      <c r="I74" s="98"/>
      <c r="J74" s="98" t="s">
        <v>985</v>
      </c>
      <c r="K74" s="98"/>
      <c r="L74" s="98"/>
      <c r="M74" s="98"/>
      <c r="N74" s="98"/>
      <c r="O74" s="98"/>
      <c r="P74" s="98" t="s">
        <v>765</v>
      </c>
      <c r="Q74" s="98"/>
    </row>
    <row r="75" spans="1:17" ht="23.25" customHeight="1" x14ac:dyDescent="0.6">
      <c r="A75" s="97" t="s">
        <v>1243</v>
      </c>
      <c r="B75" s="95" t="s">
        <v>775</v>
      </c>
      <c r="C75" s="92"/>
      <c r="D75" s="93"/>
      <c r="E75" s="99">
        <v>220780</v>
      </c>
      <c r="F75" s="94" t="s">
        <v>776</v>
      </c>
      <c r="G75" s="94"/>
      <c r="H75" s="98"/>
      <c r="I75" s="98"/>
      <c r="J75" s="98" t="s">
        <v>777</v>
      </c>
      <c r="K75" s="98"/>
      <c r="L75" s="98"/>
      <c r="M75" s="98"/>
      <c r="N75" s="98"/>
      <c r="O75" s="98"/>
      <c r="P75" s="98" t="s">
        <v>765</v>
      </c>
      <c r="Q75" s="98"/>
    </row>
    <row r="76" spans="1:17" ht="23.25" customHeight="1" x14ac:dyDescent="0.6">
      <c r="A76" s="97" t="s">
        <v>1244</v>
      </c>
      <c r="B76" s="95" t="s">
        <v>986</v>
      </c>
      <c r="C76" s="92"/>
      <c r="D76" s="93"/>
      <c r="E76" s="99">
        <v>221228</v>
      </c>
      <c r="F76" s="94" t="s">
        <v>987</v>
      </c>
      <c r="G76" s="94"/>
      <c r="H76" s="98"/>
      <c r="I76" s="98"/>
      <c r="J76" s="98" t="s">
        <v>988</v>
      </c>
      <c r="K76" s="98"/>
      <c r="L76" s="98"/>
      <c r="M76" s="98"/>
      <c r="N76" s="98"/>
      <c r="O76" s="98"/>
      <c r="P76" s="98" t="s">
        <v>765</v>
      </c>
      <c r="Q76" s="98"/>
    </row>
    <row r="77" spans="1:17" s="119" customFormat="1" ht="23.25" customHeight="1" x14ac:dyDescent="0.6">
      <c r="A77" s="112" t="s">
        <v>1245</v>
      </c>
      <c r="B77" s="113" t="s">
        <v>989</v>
      </c>
      <c r="C77" s="114"/>
      <c r="D77" s="115"/>
      <c r="E77" s="116">
        <v>214659</v>
      </c>
      <c r="F77" s="117" t="s">
        <v>990</v>
      </c>
      <c r="G77" s="117"/>
      <c r="H77" s="118"/>
      <c r="I77" s="118"/>
      <c r="J77" s="118" t="s">
        <v>991</v>
      </c>
      <c r="K77" s="118"/>
      <c r="L77" s="118"/>
      <c r="M77" s="118"/>
      <c r="N77" s="118"/>
      <c r="O77" s="118"/>
      <c r="P77" s="118" t="s">
        <v>1302</v>
      </c>
      <c r="Q77" s="118"/>
    </row>
    <row r="78" spans="1:17" ht="23.25" customHeight="1" x14ac:dyDescent="0.6">
      <c r="A78" s="97" t="s">
        <v>1246</v>
      </c>
      <c r="B78" s="95" t="s">
        <v>992</v>
      </c>
      <c r="C78" s="92"/>
      <c r="D78" s="93"/>
      <c r="E78" s="99">
        <v>218509</v>
      </c>
      <c r="F78" s="94" t="s">
        <v>993</v>
      </c>
      <c r="G78" s="94"/>
      <c r="H78" s="98"/>
      <c r="I78" s="98"/>
      <c r="J78" s="98" t="s">
        <v>994</v>
      </c>
      <c r="K78" s="98"/>
      <c r="L78" s="98"/>
      <c r="M78" s="98"/>
      <c r="N78" s="98"/>
      <c r="O78" s="98"/>
      <c r="P78" s="98" t="s">
        <v>765</v>
      </c>
      <c r="Q78" s="98"/>
    </row>
    <row r="79" spans="1:17" ht="23.25" customHeight="1" x14ac:dyDescent="0.6">
      <c r="A79" s="97" t="s">
        <v>1247</v>
      </c>
      <c r="B79" s="95" t="s">
        <v>995</v>
      </c>
      <c r="C79" s="92"/>
      <c r="D79" s="93"/>
      <c r="E79" s="99">
        <v>218156</v>
      </c>
      <c r="F79" s="94" t="s">
        <v>996</v>
      </c>
      <c r="G79" s="94"/>
      <c r="H79" s="98"/>
      <c r="I79" s="98"/>
      <c r="J79" s="98" t="s">
        <v>997</v>
      </c>
      <c r="K79" s="98"/>
      <c r="L79" s="98"/>
      <c r="M79" s="98"/>
      <c r="N79" s="98"/>
      <c r="O79" s="98"/>
      <c r="P79" s="98" t="s">
        <v>765</v>
      </c>
      <c r="Q79" s="98"/>
    </row>
    <row r="80" spans="1:17" ht="23.25" customHeight="1" x14ac:dyDescent="0.6">
      <c r="A80" s="97" t="s">
        <v>1248</v>
      </c>
      <c r="B80" s="95" t="s">
        <v>998</v>
      </c>
      <c r="C80" s="92"/>
      <c r="D80" s="93"/>
      <c r="E80" s="99">
        <v>215744</v>
      </c>
      <c r="F80" s="94" t="s">
        <v>999</v>
      </c>
      <c r="G80" s="94"/>
      <c r="H80" s="98"/>
      <c r="I80" s="98"/>
      <c r="J80" s="98" t="s">
        <v>1000</v>
      </c>
      <c r="K80" s="98"/>
      <c r="L80" s="98"/>
      <c r="M80" s="98"/>
      <c r="N80" s="98"/>
      <c r="O80" s="98"/>
      <c r="P80" s="98" t="s">
        <v>765</v>
      </c>
      <c r="Q80" s="98"/>
    </row>
    <row r="81" spans="1:17" ht="23.25" customHeight="1" x14ac:dyDescent="0.6">
      <c r="A81" s="97" t="s">
        <v>1249</v>
      </c>
      <c r="B81" s="95" t="s">
        <v>1001</v>
      </c>
      <c r="C81" s="92"/>
      <c r="D81" s="93"/>
      <c r="E81" s="99">
        <v>216742</v>
      </c>
      <c r="F81" s="94" t="s">
        <v>1002</v>
      </c>
      <c r="G81" s="94"/>
      <c r="H81" s="98"/>
      <c r="I81" s="98"/>
      <c r="J81" s="98" t="s">
        <v>1003</v>
      </c>
      <c r="K81" s="98"/>
      <c r="L81" s="98"/>
      <c r="M81" s="98"/>
      <c r="N81" s="98"/>
      <c r="O81" s="98"/>
      <c r="P81" s="98" t="s">
        <v>765</v>
      </c>
      <c r="Q81" s="98"/>
    </row>
    <row r="82" spans="1:17" ht="23.25" customHeight="1" x14ac:dyDescent="0.6">
      <c r="A82" s="97" t="s">
        <v>1250</v>
      </c>
      <c r="B82" s="95" t="s">
        <v>1004</v>
      </c>
      <c r="C82" s="92"/>
      <c r="D82" s="93"/>
      <c r="E82" s="99">
        <v>219534</v>
      </c>
      <c r="F82" s="94" t="s">
        <v>1005</v>
      </c>
      <c r="G82" s="94"/>
      <c r="H82" s="98"/>
      <c r="I82" s="98"/>
      <c r="J82" s="98" t="s">
        <v>1006</v>
      </c>
      <c r="K82" s="98"/>
      <c r="L82" s="98"/>
      <c r="M82" s="98"/>
      <c r="N82" s="98"/>
      <c r="O82" s="98"/>
      <c r="P82" s="98" t="s">
        <v>765</v>
      </c>
      <c r="Q82" s="98"/>
    </row>
    <row r="83" spans="1:17" ht="23.25" customHeight="1" x14ac:dyDescent="0.6">
      <c r="A83" s="97" t="s">
        <v>1251</v>
      </c>
      <c r="B83" s="95" t="s">
        <v>1007</v>
      </c>
      <c r="C83" s="92"/>
      <c r="D83" s="93"/>
      <c r="E83" s="99">
        <v>219625</v>
      </c>
      <c r="F83" s="94" t="s">
        <v>1008</v>
      </c>
      <c r="G83" s="94"/>
      <c r="H83" s="98"/>
      <c r="I83" s="98"/>
      <c r="J83" s="98" t="s">
        <v>1009</v>
      </c>
      <c r="K83" s="98"/>
      <c r="L83" s="98"/>
      <c r="M83" s="98"/>
      <c r="N83" s="98"/>
      <c r="O83" s="98"/>
      <c r="P83" s="98" t="s">
        <v>765</v>
      </c>
      <c r="Q83" s="98"/>
    </row>
    <row r="84" spans="1:17" ht="23.25" customHeight="1" x14ac:dyDescent="0.6">
      <c r="A84" s="97" t="s">
        <v>1252</v>
      </c>
      <c r="B84" s="95" t="s">
        <v>1010</v>
      </c>
      <c r="C84" s="92"/>
      <c r="D84" s="93"/>
      <c r="E84" s="99">
        <v>213336</v>
      </c>
      <c r="F84" s="94" t="s">
        <v>1011</v>
      </c>
      <c r="G84" s="98"/>
      <c r="H84" s="98"/>
      <c r="I84" s="98"/>
      <c r="J84" s="98" t="s">
        <v>1012</v>
      </c>
      <c r="K84" s="98"/>
      <c r="L84" s="98"/>
      <c r="M84" s="98"/>
      <c r="N84" s="98"/>
      <c r="O84" s="98"/>
      <c r="P84" s="98" t="s">
        <v>765</v>
      </c>
      <c r="Q84" s="98"/>
    </row>
    <row r="85" spans="1:17" ht="23.25" customHeight="1" x14ac:dyDescent="0.6">
      <c r="A85" s="97" t="s">
        <v>1253</v>
      </c>
      <c r="B85" s="95" t="s">
        <v>1172</v>
      </c>
      <c r="C85" s="92"/>
      <c r="D85" s="93"/>
      <c r="E85" s="99">
        <v>221065</v>
      </c>
      <c r="F85" s="94" t="s">
        <v>1173</v>
      </c>
      <c r="G85" s="98"/>
      <c r="H85" s="98"/>
      <c r="I85" s="98"/>
      <c r="J85" s="98" t="s">
        <v>1174</v>
      </c>
      <c r="K85" s="98"/>
      <c r="L85" s="98"/>
      <c r="M85" s="98"/>
      <c r="N85" s="98"/>
      <c r="O85" s="98"/>
      <c r="P85" s="98" t="s">
        <v>765</v>
      </c>
      <c r="Q85" s="98"/>
    </row>
    <row r="86" spans="1:17" ht="23.25" customHeight="1" x14ac:dyDescent="0.6">
      <c r="A86" s="97" t="s">
        <v>1254</v>
      </c>
      <c r="B86" s="95" t="s">
        <v>1013</v>
      </c>
      <c r="C86" s="92"/>
      <c r="D86" s="93"/>
      <c r="E86" s="99">
        <v>214615</v>
      </c>
      <c r="F86" s="94" t="s">
        <v>1155</v>
      </c>
      <c r="G86" s="98"/>
      <c r="H86" s="98"/>
      <c r="I86" s="98"/>
      <c r="J86" s="98" t="s">
        <v>1014</v>
      </c>
      <c r="K86" s="98"/>
      <c r="L86" s="98"/>
      <c r="M86" s="98"/>
      <c r="N86" s="98"/>
      <c r="O86" s="98"/>
      <c r="P86" s="98" t="s">
        <v>765</v>
      </c>
      <c r="Q86" s="98"/>
    </row>
    <row r="87" spans="1:17" ht="23.25" customHeight="1" x14ac:dyDescent="0.6">
      <c r="A87" s="97" t="s">
        <v>1255</v>
      </c>
      <c r="B87" s="95" t="s">
        <v>1015</v>
      </c>
      <c r="C87" s="92"/>
      <c r="D87" s="93"/>
      <c r="E87" s="94"/>
      <c r="F87" s="94" t="s">
        <v>1016</v>
      </c>
      <c r="G87" s="98"/>
      <c r="H87" s="98"/>
      <c r="I87" s="98"/>
      <c r="J87" s="98" t="s">
        <v>1017</v>
      </c>
      <c r="K87" s="98"/>
      <c r="L87" s="98"/>
      <c r="M87" s="98"/>
      <c r="N87" s="98"/>
      <c r="O87" s="98"/>
      <c r="P87" s="98" t="s">
        <v>765</v>
      </c>
      <c r="Q87" s="98"/>
    </row>
    <row r="88" spans="1:17" ht="23.25" customHeight="1" x14ac:dyDescent="0.6">
      <c r="A88" s="97" t="s">
        <v>1256</v>
      </c>
      <c r="B88" s="95" t="s">
        <v>1018</v>
      </c>
      <c r="C88" s="92"/>
      <c r="D88" s="93"/>
      <c r="E88" s="94" t="s">
        <v>1019</v>
      </c>
      <c r="F88" s="94" t="s">
        <v>1020</v>
      </c>
      <c r="G88" s="98"/>
      <c r="H88" s="98"/>
      <c r="I88" s="98"/>
      <c r="J88" s="98" t="s">
        <v>1021</v>
      </c>
      <c r="K88" s="98"/>
      <c r="L88" s="98"/>
      <c r="M88" s="98"/>
      <c r="N88" s="98"/>
      <c r="O88" s="98"/>
      <c r="P88" s="98" t="s">
        <v>765</v>
      </c>
      <c r="Q88" s="98"/>
    </row>
    <row r="89" spans="1:17" ht="23.25" customHeight="1" x14ac:dyDescent="0.6">
      <c r="A89" s="97" t="s">
        <v>1257</v>
      </c>
      <c r="B89" s="95" t="s">
        <v>1022</v>
      </c>
      <c r="C89" s="92"/>
      <c r="D89" s="93"/>
      <c r="E89" s="99">
        <v>216611</v>
      </c>
      <c r="F89" s="94" t="s">
        <v>1023</v>
      </c>
      <c r="G89" s="98"/>
      <c r="H89" s="98"/>
      <c r="I89" s="98"/>
      <c r="J89" s="98" t="s">
        <v>1024</v>
      </c>
      <c r="K89" s="98"/>
      <c r="L89" s="98"/>
      <c r="M89" s="98"/>
      <c r="N89" s="98"/>
      <c r="O89" s="98"/>
      <c r="P89" s="98" t="s">
        <v>765</v>
      </c>
      <c r="Q89" s="98"/>
    </row>
    <row r="90" spans="1:17" ht="23.25" customHeight="1" x14ac:dyDescent="0.6">
      <c r="A90" s="97" t="s">
        <v>1258</v>
      </c>
      <c r="B90" s="95" t="s">
        <v>1025</v>
      </c>
      <c r="C90" s="92"/>
      <c r="D90" s="93"/>
      <c r="E90" s="99">
        <v>217143</v>
      </c>
      <c r="F90" s="94" t="s">
        <v>1028</v>
      </c>
      <c r="G90" s="98"/>
      <c r="H90" s="98"/>
      <c r="I90" s="98"/>
      <c r="J90" s="98" t="s">
        <v>1029</v>
      </c>
      <c r="K90" s="98"/>
      <c r="L90" s="98"/>
      <c r="M90" s="98"/>
      <c r="N90" s="98"/>
      <c r="O90" s="98"/>
      <c r="P90" s="98" t="s">
        <v>765</v>
      </c>
      <c r="Q90" s="98"/>
    </row>
    <row r="91" spans="1:17" ht="23.25" customHeight="1" x14ac:dyDescent="0.6">
      <c r="A91" s="97" t="s">
        <v>1259</v>
      </c>
      <c r="B91" s="95" t="s">
        <v>1026</v>
      </c>
      <c r="C91" s="92"/>
      <c r="D91" s="93"/>
      <c r="E91" s="99">
        <v>215311</v>
      </c>
      <c r="F91" s="94" t="s">
        <v>1030</v>
      </c>
      <c r="G91" s="98"/>
      <c r="H91" s="98"/>
      <c r="I91" s="98"/>
      <c r="J91" s="98" t="s">
        <v>1031</v>
      </c>
      <c r="K91" s="98"/>
      <c r="L91" s="98"/>
      <c r="M91" s="98"/>
      <c r="N91" s="98"/>
      <c r="O91" s="98"/>
      <c r="P91" s="98" t="s">
        <v>765</v>
      </c>
      <c r="Q91" s="98"/>
    </row>
    <row r="92" spans="1:17" ht="23.25" customHeight="1" x14ac:dyDescent="0.6">
      <c r="A92" s="97" t="s">
        <v>1260</v>
      </c>
      <c r="B92" s="95" t="s">
        <v>1027</v>
      </c>
      <c r="C92" s="92"/>
      <c r="D92" s="93"/>
      <c r="E92" s="94"/>
      <c r="F92" s="94" t="s">
        <v>1032</v>
      </c>
      <c r="G92" s="98"/>
      <c r="H92" s="98"/>
      <c r="I92" s="98"/>
      <c r="J92" s="98" t="s">
        <v>1033</v>
      </c>
      <c r="K92" s="98"/>
      <c r="L92" s="98"/>
      <c r="M92" s="98"/>
      <c r="N92" s="98"/>
      <c r="O92" s="98"/>
      <c r="P92" s="98" t="s">
        <v>765</v>
      </c>
      <c r="Q92" s="98"/>
    </row>
    <row r="93" spans="1:17" ht="23.25" customHeight="1" x14ac:dyDescent="0.6">
      <c r="A93" s="97" t="s">
        <v>1261</v>
      </c>
      <c r="B93" s="95" t="s">
        <v>1034</v>
      </c>
      <c r="C93" s="92"/>
      <c r="D93" s="93"/>
      <c r="E93" s="99">
        <v>218924</v>
      </c>
      <c r="F93" s="94" t="s">
        <v>1035</v>
      </c>
      <c r="G93" s="98"/>
      <c r="H93" s="98"/>
      <c r="I93" s="98"/>
      <c r="J93" s="98" t="s">
        <v>1036</v>
      </c>
      <c r="K93" s="98"/>
      <c r="L93" s="98"/>
      <c r="M93" s="98"/>
      <c r="N93" s="98"/>
      <c r="O93" s="98"/>
      <c r="P93" s="98" t="s">
        <v>765</v>
      </c>
      <c r="Q93" s="98"/>
    </row>
    <row r="94" spans="1:17" ht="23.25" customHeight="1" x14ac:dyDescent="0.6">
      <c r="A94" s="97" t="s">
        <v>1262</v>
      </c>
      <c r="B94" s="95" t="s">
        <v>1037</v>
      </c>
      <c r="C94" s="92"/>
      <c r="D94" s="93"/>
      <c r="E94" s="99">
        <v>217010</v>
      </c>
      <c r="F94" s="94" t="s">
        <v>1038</v>
      </c>
      <c r="G94" s="98"/>
      <c r="H94" s="98"/>
      <c r="I94" s="98"/>
      <c r="J94" s="98" t="s">
        <v>1039</v>
      </c>
      <c r="K94" s="98"/>
      <c r="L94" s="98"/>
      <c r="M94" s="98"/>
      <c r="N94" s="98"/>
      <c r="O94" s="98"/>
      <c r="P94" s="98" t="s">
        <v>765</v>
      </c>
      <c r="Q94" s="98"/>
    </row>
    <row r="95" spans="1:17" ht="23.25" customHeight="1" x14ac:dyDescent="0.6">
      <c r="A95" s="97" t="s">
        <v>1263</v>
      </c>
      <c r="B95" s="95" t="s">
        <v>1040</v>
      </c>
      <c r="C95" s="92"/>
      <c r="D95" s="93"/>
      <c r="E95" s="99">
        <v>215895</v>
      </c>
      <c r="F95" s="94" t="s">
        <v>1041</v>
      </c>
      <c r="G95" s="98"/>
      <c r="H95" s="98"/>
      <c r="I95" s="98"/>
      <c r="J95" s="98" t="s">
        <v>1042</v>
      </c>
      <c r="K95" s="98"/>
      <c r="L95" s="98"/>
      <c r="M95" s="98"/>
      <c r="N95" s="98"/>
      <c r="O95" s="98"/>
      <c r="P95" s="98" t="s">
        <v>765</v>
      </c>
      <c r="Q95" s="98"/>
    </row>
    <row r="96" spans="1:17" ht="23.25" customHeight="1" x14ac:dyDescent="0.6">
      <c r="A96" s="97" t="s">
        <v>1264</v>
      </c>
      <c r="B96" s="95" t="s">
        <v>1043</v>
      </c>
      <c r="C96" s="92"/>
      <c r="D96" s="93"/>
      <c r="E96" s="99">
        <v>215835</v>
      </c>
      <c r="F96" s="94" t="s">
        <v>1044</v>
      </c>
      <c r="G96" s="98"/>
      <c r="H96" s="98"/>
      <c r="I96" s="98"/>
      <c r="J96" s="98" t="s">
        <v>1045</v>
      </c>
      <c r="K96" s="98"/>
      <c r="L96" s="98"/>
      <c r="M96" s="98"/>
      <c r="N96" s="98"/>
      <c r="O96" s="98"/>
      <c r="P96" s="98" t="s">
        <v>765</v>
      </c>
      <c r="Q96" s="98"/>
    </row>
    <row r="97" spans="1:17" ht="23.25" customHeight="1" x14ac:dyDescent="0.6">
      <c r="A97" s="97" t="s">
        <v>1265</v>
      </c>
      <c r="B97" s="95" t="s">
        <v>1046</v>
      </c>
      <c r="C97" s="92"/>
      <c r="D97" s="93"/>
      <c r="E97" s="99">
        <v>212404</v>
      </c>
      <c r="F97" s="94" t="s">
        <v>1047</v>
      </c>
      <c r="G97" s="98"/>
      <c r="H97" s="98"/>
      <c r="I97" s="98"/>
      <c r="J97" s="98" t="s">
        <v>1048</v>
      </c>
      <c r="K97" s="98"/>
      <c r="L97" s="98"/>
      <c r="M97" s="98"/>
      <c r="N97" s="98"/>
      <c r="O97" s="98"/>
      <c r="P97" s="98" t="s">
        <v>765</v>
      </c>
      <c r="Q97" s="98"/>
    </row>
    <row r="98" spans="1:17" ht="23.25" customHeight="1" x14ac:dyDescent="0.6">
      <c r="A98" s="97" t="s">
        <v>1266</v>
      </c>
      <c r="B98" s="95" t="s">
        <v>1049</v>
      </c>
      <c r="C98" s="92"/>
      <c r="D98" s="93"/>
      <c r="E98" s="99">
        <v>214576</v>
      </c>
      <c r="F98" s="94" t="s">
        <v>1050</v>
      </c>
      <c r="G98" s="98"/>
      <c r="H98" s="98"/>
      <c r="I98" s="98"/>
      <c r="J98" s="98" t="s">
        <v>1156</v>
      </c>
      <c r="K98" s="98"/>
      <c r="L98" s="98"/>
      <c r="M98" s="98"/>
      <c r="N98" s="98"/>
      <c r="O98" s="98"/>
      <c r="P98" s="98" t="s">
        <v>765</v>
      </c>
      <c r="Q98" s="98"/>
    </row>
    <row r="99" spans="1:17" ht="23.25" customHeight="1" x14ac:dyDescent="0.6">
      <c r="A99" s="97" t="s">
        <v>1267</v>
      </c>
      <c r="B99" s="95" t="s">
        <v>1051</v>
      </c>
      <c r="C99" s="92"/>
      <c r="D99" s="93"/>
      <c r="E99" s="94"/>
      <c r="F99" s="94" t="s">
        <v>1057</v>
      </c>
      <c r="G99" s="98"/>
      <c r="H99" s="98"/>
      <c r="I99" s="98"/>
      <c r="J99" s="98" t="s">
        <v>1058</v>
      </c>
      <c r="K99" s="98"/>
      <c r="L99" s="98"/>
      <c r="M99" s="98"/>
      <c r="N99" s="98"/>
      <c r="O99" s="98"/>
      <c r="P99" s="98" t="s">
        <v>765</v>
      </c>
      <c r="Q99" s="98"/>
    </row>
    <row r="100" spans="1:17" ht="23.25" customHeight="1" x14ac:dyDescent="0.6">
      <c r="A100" s="97" t="s">
        <v>1268</v>
      </c>
      <c r="B100" s="95" t="s">
        <v>1052</v>
      </c>
      <c r="C100" s="92"/>
      <c r="D100" s="93"/>
      <c r="E100" s="99">
        <v>213385</v>
      </c>
      <c r="F100" s="94" t="s">
        <v>1059</v>
      </c>
      <c r="G100" s="98"/>
      <c r="H100" s="98"/>
      <c r="I100" s="98"/>
      <c r="J100" s="98" t="s">
        <v>1060</v>
      </c>
      <c r="K100" s="98"/>
      <c r="L100" s="98"/>
      <c r="M100" s="98"/>
      <c r="N100" s="98"/>
      <c r="O100" s="98"/>
      <c r="P100" s="98" t="s">
        <v>765</v>
      </c>
      <c r="Q100" s="98"/>
    </row>
    <row r="101" spans="1:17" s="119" customFormat="1" ht="23.25" customHeight="1" x14ac:dyDescent="0.6">
      <c r="A101" s="112" t="s">
        <v>1269</v>
      </c>
      <c r="B101" s="113" t="s">
        <v>1053</v>
      </c>
      <c r="C101" s="114"/>
      <c r="D101" s="115"/>
      <c r="E101" s="117"/>
      <c r="F101" s="117"/>
      <c r="G101" s="118"/>
      <c r="H101" s="118"/>
      <c r="I101" s="118"/>
      <c r="J101" s="118" t="s">
        <v>1061</v>
      </c>
      <c r="K101" s="118"/>
      <c r="L101" s="118"/>
      <c r="M101" s="118"/>
      <c r="N101" s="118"/>
      <c r="O101" s="118"/>
      <c r="P101" s="118" t="s">
        <v>1302</v>
      </c>
      <c r="Q101" s="118"/>
    </row>
    <row r="102" spans="1:17" s="119" customFormat="1" ht="23.25" customHeight="1" x14ac:dyDescent="0.6">
      <c r="A102" s="112" t="s">
        <v>1270</v>
      </c>
      <c r="B102" s="113" t="s">
        <v>1054</v>
      </c>
      <c r="C102" s="114"/>
      <c r="D102" s="115"/>
      <c r="E102" s="116">
        <v>212013</v>
      </c>
      <c r="F102" s="117" t="s">
        <v>1062</v>
      </c>
      <c r="G102" s="118"/>
      <c r="H102" s="118"/>
      <c r="I102" s="118"/>
      <c r="J102" s="118" t="s">
        <v>1063</v>
      </c>
      <c r="K102" s="118"/>
      <c r="L102" s="118"/>
      <c r="M102" s="118"/>
      <c r="N102" s="118"/>
      <c r="O102" s="118"/>
      <c r="P102" s="118" t="s">
        <v>1302</v>
      </c>
      <c r="Q102" s="118"/>
    </row>
    <row r="103" spans="1:17" s="119" customFormat="1" ht="23.25" customHeight="1" x14ac:dyDescent="0.6">
      <c r="A103" s="112" t="s">
        <v>1271</v>
      </c>
      <c r="B103" s="113" t="s">
        <v>1055</v>
      </c>
      <c r="C103" s="114"/>
      <c r="D103" s="115"/>
      <c r="E103" s="117"/>
      <c r="F103" s="117" t="s">
        <v>1064</v>
      </c>
      <c r="G103" s="118"/>
      <c r="H103" s="118"/>
      <c r="I103" s="118"/>
      <c r="J103" s="118" t="s">
        <v>1065</v>
      </c>
      <c r="K103" s="118"/>
      <c r="L103" s="118"/>
      <c r="M103" s="118"/>
      <c r="N103" s="118"/>
      <c r="O103" s="118"/>
      <c r="P103" s="118" t="s">
        <v>1302</v>
      </c>
      <c r="Q103" s="118"/>
    </row>
    <row r="104" spans="1:17" ht="23.25" customHeight="1" x14ac:dyDescent="0.6">
      <c r="A104" s="97" t="s">
        <v>1272</v>
      </c>
      <c r="B104" s="95" t="s">
        <v>867</v>
      </c>
      <c r="C104" s="92"/>
      <c r="D104" s="93"/>
      <c r="E104" s="99"/>
      <c r="F104" s="94" t="s">
        <v>1056</v>
      </c>
      <c r="G104" s="94"/>
      <c r="H104" s="98"/>
      <c r="I104" s="98"/>
      <c r="J104" s="98" t="s">
        <v>866</v>
      </c>
      <c r="K104" s="98"/>
      <c r="L104" s="98"/>
      <c r="M104" s="98"/>
      <c r="N104" s="98"/>
      <c r="O104" s="98"/>
      <c r="P104" s="98" t="s">
        <v>765</v>
      </c>
      <c r="Q104" s="98"/>
    </row>
    <row r="105" spans="1:17" ht="23.25" customHeight="1" x14ac:dyDescent="0.6">
      <c r="A105" s="97" t="s">
        <v>1273</v>
      </c>
      <c r="B105" s="95" t="s">
        <v>1066</v>
      </c>
      <c r="C105" s="92"/>
      <c r="D105" s="93"/>
      <c r="E105" s="99">
        <v>219769</v>
      </c>
      <c r="F105" s="94" t="s">
        <v>1072</v>
      </c>
      <c r="G105" s="98"/>
      <c r="H105" s="98"/>
      <c r="I105" s="98"/>
      <c r="J105" s="98" t="s">
        <v>1073</v>
      </c>
      <c r="K105" s="98"/>
      <c r="L105" s="98"/>
      <c r="M105" s="98"/>
      <c r="N105" s="98"/>
      <c r="O105" s="98"/>
      <c r="P105" s="98" t="s">
        <v>765</v>
      </c>
      <c r="Q105" s="98"/>
    </row>
    <row r="106" spans="1:17" ht="23.25" customHeight="1" x14ac:dyDescent="0.6">
      <c r="A106" s="97" t="s">
        <v>1274</v>
      </c>
      <c r="B106" s="95" t="s">
        <v>1067</v>
      </c>
      <c r="C106" s="92"/>
      <c r="D106" s="93"/>
      <c r="E106" s="99">
        <v>214757</v>
      </c>
      <c r="F106" s="94" t="s">
        <v>1074</v>
      </c>
      <c r="G106" s="98"/>
      <c r="H106" s="98"/>
      <c r="I106" s="98"/>
      <c r="J106" s="98" t="s">
        <v>1075</v>
      </c>
      <c r="K106" s="98"/>
      <c r="L106" s="98"/>
      <c r="M106" s="98"/>
      <c r="N106" s="98"/>
      <c r="O106" s="98"/>
      <c r="P106" s="98" t="s">
        <v>765</v>
      </c>
      <c r="Q106" s="98"/>
    </row>
    <row r="107" spans="1:17" s="119" customFormat="1" ht="23.25" customHeight="1" x14ac:dyDescent="0.6">
      <c r="A107" s="112" t="s">
        <v>1275</v>
      </c>
      <c r="B107" s="113" t="s">
        <v>1068</v>
      </c>
      <c r="C107" s="114"/>
      <c r="D107" s="115"/>
      <c r="E107" s="116">
        <v>207961</v>
      </c>
      <c r="F107" s="117" t="s">
        <v>1076</v>
      </c>
      <c r="G107" s="118"/>
      <c r="H107" s="118"/>
      <c r="I107" s="118"/>
      <c r="J107" s="118" t="s">
        <v>1077</v>
      </c>
      <c r="K107" s="118"/>
      <c r="L107" s="118"/>
      <c r="M107" s="118"/>
      <c r="N107" s="118"/>
      <c r="O107" s="118"/>
      <c r="P107" s="118" t="s">
        <v>1302</v>
      </c>
      <c r="Q107" s="118"/>
    </row>
    <row r="108" spans="1:17" ht="23.25" customHeight="1" x14ac:dyDescent="0.6">
      <c r="A108" s="97" t="s">
        <v>1276</v>
      </c>
      <c r="B108" s="95" t="s">
        <v>1069</v>
      </c>
      <c r="C108" s="92"/>
      <c r="D108" s="93"/>
      <c r="E108" s="99">
        <v>216083</v>
      </c>
      <c r="F108" s="94" t="s">
        <v>1078</v>
      </c>
      <c r="G108" s="98"/>
      <c r="H108" s="98"/>
      <c r="I108" s="98"/>
      <c r="J108" s="98" t="s">
        <v>1079</v>
      </c>
      <c r="K108" s="98"/>
      <c r="L108" s="98"/>
      <c r="M108" s="98"/>
      <c r="N108" s="98"/>
      <c r="O108" s="98"/>
      <c r="P108" s="98" t="s">
        <v>765</v>
      </c>
      <c r="Q108" s="98"/>
    </row>
    <row r="109" spans="1:17" ht="23.25" customHeight="1" x14ac:dyDescent="0.6">
      <c r="A109" s="97" t="s">
        <v>1277</v>
      </c>
      <c r="B109" s="95" t="s">
        <v>1070</v>
      </c>
      <c r="C109" s="92"/>
      <c r="D109" s="93"/>
      <c r="E109" s="99">
        <v>219515</v>
      </c>
      <c r="F109" s="94" t="s">
        <v>1080</v>
      </c>
      <c r="G109" s="98"/>
      <c r="H109" s="98"/>
      <c r="I109" s="98"/>
      <c r="J109" s="98" t="s">
        <v>1081</v>
      </c>
      <c r="K109" s="98"/>
      <c r="L109" s="98"/>
      <c r="M109" s="98"/>
      <c r="N109" s="98"/>
      <c r="O109" s="98"/>
      <c r="P109" s="98" t="s">
        <v>765</v>
      </c>
      <c r="Q109" s="98"/>
    </row>
    <row r="110" spans="1:17" ht="23.25" customHeight="1" x14ac:dyDescent="0.6">
      <c r="A110" s="97" t="s">
        <v>1278</v>
      </c>
      <c r="B110" s="95" t="s">
        <v>1071</v>
      </c>
      <c r="C110" s="92"/>
      <c r="D110" s="93"/>
      <c r="E110" s="99">
        <v>215854</v>
      </c>
      <c r="F110" s="94" t="s">
        <v>1082</v>
      </c>
      <c r="G110" s="98"/>
      <c r="H110" s="98"/>
      <c r="I110" s="98"/>
      <c r="J110" s="98" t="s">
        <v>1083</v>
      </c>
      <c r="K110" s="98"/>
      <c r="L110" s="98"/>
      <c r="M110" s="98"/>
      <c r="N110" s="98"/>
      <c r="O110" s="98"/>
      <c r="P110" s="98" t="s">
        <v>765</v>
      </c>
      <c r="Q110" s="98"/>
    </row>
    <row r="111" spans="1:17" ht="23.25" customHeight="1" x14ac:dyDescent="0.6">
      <c r="A111" s="97" t="s">
        <v>1279</v>
      </c>
      <c r="B111" s="95" t="s">
        <v>1084</v>
      </c>
      <c r="C111" s="92"/>
      <c r="D111" s="93"/>
      <c r="E111" s="99">
        <v>212041</v>
      </c>
      <c r="F111" s="94" t="s">
        <v>1090</v>
      </c>
      <c r="G111" s="98"/>
      <c r="H111" s="98"/>
      <c r="I111" s="98"/>
      <c r="J111" s="98" t="s">
        <v>1096</v>
      </c>
      <c r="K111" s="98"/>
      <c r="L111" s="98"/>
      <c r="M111" s="98"/>
      <c r="N111" s="98"/>
      <c r="O111" s="98"/>
      <c r="P111" s="98" t="s">
        <v>765</v>
      </c>
      <c r="Q111" s="98"/>
    </row>
    <row r="112" spans="1:17" ht="23.25" customHeight="1" x14ac:dyDescent="0.6">
      <c r="A112" s="97" t="s">
        <v>1280</v>
      </c>
      <c r="B112" s="95" t="s">
        <v>1085</v>
      </c>
      <c r="C112" s="92"/>
      <c r="D112" s="93"/>
      <c r="E112" s="99">
        <v>214566</v>
      </c>
      <c r="F112" s="94" t="s">
        <v>1091</v>
      </c>
      <c r="G112" s="98"/>
      <c r="H112" s="98"/>
      <c r="I112" s="98"/>
      <c r="J112" s="98" t="s">
        <v>1097</v>
      </c>
      <c r="K112" s="98"/>
      <c r="L112" s="98"/>
      <c r="M112" s="98"/>
      <c r="N112" s="98"/>
      <c r="O112" s="98"/>
      <c r="P112" s="98" t="s">
        <v>765</v>
      </c>
      <c r="Q112" s="98"/>
    </row>
    <row r="113" spans="1:17" ht="23.25" customHeight="1" x14ac:dyDescent="0.6">
      <c r="A113" s="112" t="s">
        <v>1281</v>
      </c>
      <c r="B113" s="113" t="s">
        <v>1086</v>
      </c>
      <c r="C113" s="114"/>
      <c r="D113" s="115"/>
      <c r="E113" s="116">
        <v>211561</v>
      </c>
      <c r="F113" s="117" t="s">
        <v>1092</v>
      </c>
      <c r="G113" s="118"/>
      <c r="H113" s="118"/>
      <c r="I113" s="118"/>
      <c r="J113" s="118" t="s">
        <v>1098</v>
      </c>
      <c r="K113" s="118"/>
      <c r="L113" s="118"/>
      <c r="M113" s="118"/>
      <c r="N113" s="118"/>
      <c r="O113" s="118"/>
      <c r="P113" s="118" t="s">
        <v>1302</v>
      </c>
      <c r="Q113" s="118"/>
    </row>
    <row r="114" spans="1:17" ht="23.25" customHeight="1" x14ac:dyDescent="0.6">
      <c r="A114" s="97" t="s">
        <v>1282</v>
      </c>
      <c r="B114" s="95" t="s">
        <v>1087</v>
      </c>
      <c r="C114" s="92"/>
      <c r="D114" s="93"/>
      <c r="E114" s="99">
        <v>219504</v>
      </c>
      <c r="F114" s="94" t="s">
        <v>1093</v>
      </c>
      <c r="G114" s="98"/>
      <c r="H114" s="98"/>
      <c r="I114" s="98"/>
      <c r="J114" s="98" t="s">
        <v>1099</v>
      </c>
      <c r="K114" s="98"/>
      <c r="L114" s="98"/>
      <c r="M114" s="98"/>
      <c r="N114" s="98"/>
      <c r="O114" s="98"/>
      <c r="P114" s="98" t="s">
        <v>765</v>
      </c>
      <c r="Q114" s="98"/>
    </row>
    <row r="115" spans="1:17" ht="23.25" customHeight="1" x14ac:dyDescent="0.6">
      <c r="A115" s="112" t="s">
        <v>1283</v>
      </c>
      <c r="B115" s="113" t="s">
        <v>1088</v>
      </c>
      <c r="C115" s="114"/>
      <c r="D115" s="115"/>
      <c r="E115" s="116">
        <v>211204</v>
      </c>
      <c r="F115" s="117" t="s">
        <v>1094</v>
      </c>
      <c r="G115" s="118"/>
      <c r="H115" s="118"/>
      <c r="I115" s="118"/>
      <c r="J115" s="118" t="s">
        <v>1100</v>
      </c>
      <c r="K115" s="118"/>
      <c r="L115" s="118"/>
      <c r="M115" s="118"/>
      <c r="N115" s="118"/>
      <c r="O115" s="118"/>
      <c r="P115" s="118" t="s">
        <v>1302</v>
      </c>
      <c r="Q115" s="118"/>
    </row>
    <row r="116" spans="1:17" ht="23.25" customHeight="1" x14ac:dyDescent="0.6">
      <c r="A116" s="97" t="s">
        <v>1284</v>
      </c>
      <c r="B116" s="95" t="s">
        <v>1089</v>
      </c>
      <c r="C116" s="92"/>
      <c r="D116" s="93"/>
      <c r="E116" s="99">
        <v>213286</v>
      </c>
      <c r="F116" s="94" t="s">
        <v>1095</v>
      </c>
      <c r="G116" s="98"/>
      <c r="H116" s="98"/>
      <c r="I116" s="98"/>
      <c r="J116" s="98" t="s">
        <v>1101</v>
      </c>
      <c r="K116" s="98"/>
      <c r="L116" s="98"/>
      <c r="M116" s="98"/>
      <c r="N116" s="98"/>
      <c r="O116" s="98"/>
      <c r="P116" s="98" t="s">
        <v>765</v>
      </c>
      <c r="Q116" s="98"/>
    </row>
    <row r="117" spans="1:17" ht="23.25" customHeight="1" x14ac:dyDescent="0.6">
      <c r="A117" s="97" t="s">
        <v>1285</v>
      </c>
      <c r="B117" s="95" t="s">
        <v>1102</v>
      </c>
      <c r="C117" s="92"/>
      <c r="D117" s="93"/>
      <c r="E117" s="99">
        <v>219005</v>
      </c>
      <c r="F117" s="94" t="s">
        <v>1109</v>
      </c>
      <c r="G117" s="98"/>
      <c r="H117" s="98"/>
      <c r="I117" s="98"/>
      <c r="J117" s="98" t="s">
        <v>1115</v>
      </c>
      <c r="K117" s="98"/>
      <c r="L117" s="98"/>
      <c r="M117" s="98"/>
      <c r="N117" s="98"/>
      <c r="O117" s="98"/>
      <c r="P117" s="98" t="s">
        <v>765</v>
      </c>
      <c r="Q117" s="98"/>
    </row>
    <row r="118" spans="1:17" ht="23.25" customHeight="1" x14ac:dyDescent="0.6">
      <c r="A118" s="97" t="s">
        <v>1286</v>
      </c>
      <c r="B118" s="95" t="s">
        <v>1103</v>
      </c>
      <c r="C118" s="97" t="s">
        <v>1104</v>
      </c>
      <c r="D118" s="93"/>
      <c r="E118" s="99">
        <v>216100</v>
      </c>
      <c r="F118" s="94" t="s">
        <v>1110</v>
      </c>
      <c r="G118" s="98"/>
      <c r="H118" s="98"/>
      <c r="I118" s="98"/>
      <c r="J118" s="98" t="s">
        <v>1116</v>
      </c>
      <c r="K118" s="98"/>
      <c r="L118" s="98"/>
      <c r="M118" s="98"/>
      <c r="N118" s="98"/>
      <c r="O118" s="98"/>
      <c r="P118" s="98" t="s">
        <v>765</v>
      </c>
      <c r="Q118" s="98"/>
    </row>
    <row r="119" spans="1:17" ht="23.25" customHeight="1" x14ac:dyDescent="0.6">
      <c r="A119" s="97" t="s">
        <v>1287</v>
      </c>
      <c r="B119" s="95" t="s">
        <v>1105</v>
      </c>
      <c r="C119" s="92"/>
      <c r="D119" s="93"/>
      <c r="E119" s="99">
        <v>219509</v>
      </c>
      <c r="F119" s="94" t="s">
        <v>1111</v>
      </c>
      <c r="G119" s="98"/>
      <c r="H119" s="98"/>
      <c r="I119" s="98"/>
      <c r="J119" s="98" t="s">
        <v>1117</v>
      </c>
      <c r="K119" s="98"/>
      <c r="L119" s="98"/>
      <c r="M119" s="98"/>
      <c r="N119" s="98"/>
      <c r="O119" s="98"/>
      <c r="P119" s="98" t="s">
        <v>765</v>
      </c>
      <c r="Q119" s="98"/>
    </row>
    <row r="120" spans="1:17" ht="23.25" customHeight="1" x14ac:dyDescent="0.6">
      <c r="A120" s="97" t="s">
        <v>1288</v>
      </c>
      <c r="B120" s="95" t="s">
        <v>1152</v>
      </c>
      <c r="C120" s="92"/>
      <c r="D120" s="93"/>
      <c r="E120" s="99"/>
      <c r="F120" s="94" t="s">
        <v>1153</v>
      </c>
      <c r="G120" s="98"/>
      <c r="H120" s="98"/>
      <c r="I120" s="98"/>
      <c r="J120" s="98" t="s">
        <v>1154</v>
      </c>
      <c r="K120" s="98"/>
      <c r="L120" s="98"/>
      <c r="M120" s="98"/>
      <c r="N120" s="98"/>
      <c r="O120" s="98"/>
      <c r="P120" s="98" t="s">
        <v>765</v>
      </c>
      <c r="Q120" s="98"/>
    </row>
    <row r="121" spans="1:17" ht="23.25" customHeight="1" x14ac:dyDescent="0.6">
      <c r="A121" s="97" t="s">
        <v>1289</v>
      </c>
      <c r="B121" s="95" t="s">
        <v>1106</v>
      </c>
      <c r="C121" s="92"/>
      <c r="D121" s="93"/>
      <c r="E121" s="99">
        <v>213253</v>
      </c>
      <c r="F121" s="94" t="s">
        <v>1112</v>
      </c>
      <c r="G121" s="98"/>
      <c r="H121" s="98"/>
      <c r="I121" s="98"/>
      <c r="J121" s="98" t="s">
        <v>1118</v>
      </c>
      <c r="K121" s="98"/>
      <c r="L121" s="98"/>
      <c r="M121" s="98"/>
      <c r="N121" s="98"/>
      <c r="O121" s="98"/>
      <c r="P121" s="98" t="s">
        <v>765</v>
      </c>
      <c r="Q121" s="98"/>
    </row>
    <row r="122" spans="1:17" ht="23.25" customHeight="1" x14ac:dyDescent="0.6">
      <c r="A122" s="97" t="s">
        <v>1290</v>
      </c>
      <c r="B122" s="95" t="s">
        <v>1107</v>
      </c>
      <c r="C122" s="92"/>
      <c r="D122" s="93"/>
      <c r="E122" s="99">
        <v>213605</v>
      </c>
      <c r="F122" s="94" t="s">
        <v>1113</v>
      </c>
      <c r="G122" s="98"/>
      <c r="H122" s="98"/>
      <c r="I122" s="98"/>
      <c r="J122" s="98" t="s">
        <v>1119</v>
      </c>
      <c r="K122" s="98"/>
      <c r="L122" s="98"/>
      <c r="M122" s="98"/>
      <c r="N122" s="98"/>
      <c r="O122" s="98"/>
      <c r="P122" s="98" t="s">
        <v>765</v>
      </c>
      <c r="Q122" s="98"/>
    </row>
    <row r="123" spans="1:17" ht="23.25" customHeight="1" x14ac:dyDescent="0.6">
      <c r="A123" s="112" t="s">
        <v>1291</v>
      </c>
      <c r="B123" s="113" t="s">
        <v>1108</v>
      </c>
      <c r="C123" s="114"/>
      <c r="D123" s="115"/>
      <c r="E123" s="116">
        <v>216632</v>
      </c>
      <c r="F123" s="117" t="s">
        <v>1114</v>
      </c>
      <c r="G123" s="118"/>
      <c r="H123" s="118"/>
      <c r="I123" s="118"/>
      <c r="J123" s="118" t="s">
        <v>1120</v>
      </c>
      <c r="K123" s="118"/>
      <c r="L123" s="118"/>
      <c r="M123" s="118"/>
      <c r="N123" s="118"/>
      <c r="O123" s="118"/>
      <c r="P123" s="118" t="s">
        <v>1302</v>
      </c>
      <c r="Q123" s="118"/>
    </row>
    <row r="124" spans="1:17" ht="23.25" customHeight="1" x14ac:dyDescent="0.6">
      <c r="A124" s="97" t="s">
        <v>1292</v>
      </c>
      <c r="B124" s="95" t="s">
        <v>1121</v>
      </c>
      <c r="C124" s="92"/>
      <c r="D124" s="93"/>
      <c r="E124" s="99">
        <v>216088</v>
      </c>
      <c r="F124" s="94" t="s">
        <v>1127</v>
      </c>
      <c r="G124" s="98"/>
      <c r="H124" s="98"/>
      <c r="I124" s="98"/>
      <c r="J124" s="98" t="s">
        <v>1133</v>
      </c>
      <c r="K124" s="98"/>
      <c r="L124" s="98"/>
      <c r="M124" s="98"/>
      <c r="N124" s="98"/>
      <c r="O124" s="98"/>
      <c r="P124" s="98" t="s">
        <v>765</v>
      </c>
      <c r="Q124" s="98"/>
    </row>
    <row r="125" spans="1:17" ht="23.25" customHeight="1" x14ac:dyDescent="0.6">
      <c r="A125" s="97" t="s">
        <v>1293</v>
      </c>
      <c r="B125" s="95" t="s">
        <v>1122</v>
      </c>
      <c r="C125" s="92"/>
      <c r="D125" s="93"/>
      <c r="E125" s="99">
        <v>237757</v>
      </c>
      <c r="F125" s="94" t="s">
        <v>1128</v>
      </c>
      <c r="G125" s="98"/>
      <c r="H125" s="98"/>
      <c r="I125" s="98"/>
      <c r="J125" s="98" t="s">
        <v>1134</v>
      </c>
      <c r="K125" s="98"/>
      <c r="L125" s="98"/>
      <c r="M125" s="98"/>
      <c r="N125" s="98"/>
      <c r="O125" s="98"/>
      <c r="P125" s="98" t="s">
        <v>765</v>
      </c>
      <c r="Q125" s="98"/>
    </row>
    <row r="126" spans="1:17" ht="23.25" customHeight="1" x14ac:dyDescent="0.6">
      <c r="A126" s="97" t="s">
        <v>1294</v>
      </c>
      <c r="B126" s="95" t="s">
        <v>1123</v>
      </c>
      <c r="C126" s="92"/>
      <c r="D126" s="93"/>
      <c r="E126" s="99">
        <v>216373</v>
      </c>
      <c r="F126" s="94" t="s">
        <v>1129</v>
      </c>
      <c r="G126" s="98"/>
      <c r="H126" s="98"/>
      <c r="I126" s="98"/>
      <c r="J126" s="98" t="s">
        <v>1135</v>
      </c>
      <c r="K126" s="98"/>
      <c r="L126" s="98"/>
      <c r="M126" s="98"/>
      <c r="N126" s="98"/>
      <c r="O126" s="98"/>
      <c r="P126" s="98" t="s">
        <v>765</v>
      </c>
      <c r="Q126" s="98"/>
    </row>
    <row r="127" spans="1:17" ht="23.25" customHeight="1" x14ac:dyDescent="0.6">
      <c r="A127" s="97" t="s">
        <v>1295</v>
      </c>
      <c r="B127" s="95" t="s">
        <v>1124</v>
      </c>
      <c r="C127" s="92"/>
      <c r="D127" s="93"/>
      <c r="E127" s="99">
        <v>218347</v>
      </c>
      <c r="F127" s="94" t="s">
        <v>1130</v>
      </c>
      <c r="G127" s="98"/>
      <c r="H127" s="98"/>
      <c r="I127" s="98"/>
      <c r="J127" s="98" t="s">
        <v>1136</v>
      </c>
      <c r="K127" s="98"/>
      <c r="L127" s="98"/>
      <c r="M127" s="98"/>
      <c r="N127" s="98"/>
      <c r="O127" s="98"/>
      <c r="P127" s="98" t="s">
        <v>765</v>
      </c>
      <c r="Q127" s="98"/>
    </row>
    <row r="128" spans="1:17" ht="23.25" customHeight="1" x14ac:dyDescent="0.6">
      <c r="A128" s="97" t="s">
        <v>1296</v>
      </c>
      <c r="B128" s="95" t="s">
        <v>1125</v>
      </c>
      <c r="C128" s="92"/>
      <c r="D128" s="93"/>
      <c r="E128" s="99">
        <v>219214</v>
      </c>
      <c r="F128" s="94" t="s">
        <v>1131</v>
      </c>
      <c r="G128" s="98"/>
      <c r="H128" s="98"/>
      <c r="I128" s="98"/>
      <c r="J128" s="98" t="s">
        <v>1137</v>
      </c>
      <c r="K128" s="98"/>
      <c r="L128" s="98"/>
      <c r="M128" s="98"/>
      <c r="N128" s="98"/>
      <c r="O128" s="98"/>
      <c r="P128" s="98" t="s">
        <v>765</v>
      </c>
      <c r="Q128" s="98"/>
    </row>
    <row r="129" spans="1:17" ht="23.25" customHeight="1" x14ac:dyDescent="0.6">
      <c r="A129" s="97" t="s">
        <v>1297</v>
      </c>
      <c r="B129" s="95" t="s">
        <v>1157</v>
      </c>
      <c r="C129" s="92"/>
      <c r="D129" s="93"/>
      <c r="E129" s="99">
        <v>220406</v>
      </c>
      <c r="F129" s="94" t="s">
        <v>1158</v>
      </c>
      <c r="G129" s="98"/>
      <c r="H129" s="98"/>
      <c r="I129" s="98"/>
      <c r="J129" s="98" t="s">
        <v>1159</v>
      </c>
      <c r="K129" s="98"/>
      <c r="L129" s="98"/>
      <c r="M129" s="98"/>
      <c r="N129" s="98"/>
      <c r="O129" s="98"/>
      <c r="P129" s="98" t="s">
        <v>765</v>
      </c>
      <c r="Q129" s="98"/>
    </row>
    <row r="130" spans="1:17" ht="23.25" customHeight="1" x14ac:dyDescent="0.6">
      <c r="A130" s="97" t="s">
        <v>1298</v>
      </c>
      <c r="B130" s="95" t="s">
        <v>1126</v>
      </c>
      <c r="C130" s="92"/>
      <c r="D130" s="93"/>
      <c r="E130" s="99">
        <v>218650</v>
      </c>
      <c r="F130" s="94" t="s">
        <v>1132</v>
      </c>
      <c r="G130" s="98"/>
      <c r="H130" s="98"/>
      <c r="I130" s="98"/>
      <c r="J130" s="98" t="s">
        <v>1138</v>
      </c>
      <c r="K130" s="98"/>
      <c r="L130" s="98"/>
      <c r="M130" s="98"/>
      <c r="N130" s="98"/>
      <c r="O130" s="98"/>
      <c r="P130" s="98" t="s">
        <v>765</v>
      </c>
      <c r="Q130" s="98"/>
    </row>
    <row r="131" spans="1:17" ht="23.25" customHeight="1" x14ac:dyDescent="0.6">
      <c r="A131" s="97" t="s">
        <v>1299</v>
      </c>
      <c r="B131" s="95" t="s">
        <v>1139</v>
      </c>
      <c r="C131" s="92"/>
      <c r="D131" s="93"/>
      <c r="E131" s="99">
        <v>216598</v>
      </c>
      <c r="F131" s="94" t="s">
        <v>1141</v>
      </c>
      <c r="G131" s="98"/>
      <c r="H131" s="98"/>
      <c r="I131" s="98"/>
      <c r="J131" s="98" t="s">
        <v>1142</v>
      </c>
      <c r="K131" s="98"/>
      <c r="L131" s="98"/>
      <c r="M131" s="98"/>
      <c r="N131" s="98"/>
      <c r="O131" s="98"/>
      <c r="P131" s="98" t="s">
        <v>765</v>
      </c>
      <c r="Q131" s="98"/>
    </row>
    <row r="132" spans="1:17" ht="23.25" customHeight="1" x14ac:dyDescent="0.6">
      <c r="A132" s="97" t="s">
        <v>1300</v>
      </c>
      <c r="B132" s="95" t="s">
        <v>1140</v>
      </c>
      <c r="C132" s="92"/>
      <c r="D132" s="93"/>
      <c r="E132" s="94"/>
      <c r="F132" s="94" t="s">
        <v>1178</v>
      </c>
      <c r="G132" s="98"/>
      <c r="H132" s="98"/>
      <c r="I132" s="98"/>
      <c r="J132" s="98" t="s">
        <v>1179</v>
      </c>
      <c r="K132" s="98"/>
      <c r="L132" s="98"/>
      <c r="M132" s="98"/>
      <c r="N132" s="98"/>
      <c r="O132" s="98"/>
      <c r="P132" s="98" t="s">
        <v>765</v>
      </c>
      <c r="Q132" s="98"/>
    </row>
    <row r="133" spans="1:17" s="119" customFormat="1" ht="23.25" customHeight="1" x14ac:dyDescent="0.6">
      <c r="A133" s="112" t="s">
        <v>1307</v>
      </c>
      <c r="B133" s="113" t="s">
        <v>1303</v>
      </c>
      <c r="C133" s="114"/>
      <c r="D133" s="115"/>
      <c r="E133" s="117"/>
      <c r="F133" s="117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 t="s">
        <v>1302</v>
      </c>
      <c r="Q133" s="118"/>
    </row>
    <row r="134" spans="1:17" s="119" customFormat="1" ht="23.25" customHeight="1" x14ac:dyDescent="0.6">
      <c r="A134" s="112" t="s">
        <v>1308</v>
      </c>
      <c r="B134" s="113" t="s">
        <v>1304</v>
      </c>
      <c r="C134" s="114"/>
      <c r="D134" s="115"/>
      <c r="E134" s="117"/>
      <c r="F134" s="117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 t="s">
        <v>1302</v>
      </c>
      <c r="Q134" s="118"/>
    </row>
    <row r="135" spans="1:17" s="119" customFormat="1" ht="23.25" customHeight="1" x14ac:dyDescent="0.6">
      <c r="A135" s="112" t="s">
        <v>1309</v>
      </c>
      <c r="B135" s="113" t="s">
        <v>1305</v>
      </c>
      <c r="C135" s="114"/>
      <c r="D135" s="115"/>
      <c r="E135" s="117"/>
      <c r="F135" s="117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 t="s">
        <v>1302</v>
      </c>
      <c r="Q135" s="118"/>
    </row>
    <row r="136" spans="1:17" s="119" customFormat="1" ht="23.25" customHeight="1" x14ac:dyDescent="0.6">
      <c r="A136" s="112" t="s">
        <v>1310</v>
      </c>
      <c r="B136" s="113" t="s">
        <v>1306</v>
      </c>
      <c r="C136" s="114"/>
      <c r="D136" s="115"/>
      <c r="E136" s="117"/>
      <c r="F136" s="117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 t="s">
        <v>1302</v>
      </c>
      <c r="Q136" s="118"/>
    </row>
    <row r="137" spans="1:17" ht="23.25" customHeight="1" x14ac:dyDescent="0.6">
      <c r="A137" s="120" t="s">
        <v>1314</v>
      </c>
      <c r="B137" s="95" t="s">
        <v>1311</v>
      </c>
      <c r="C137" s="92"/>
      <c r="D137" s="93"/>
      <c r="E137" s="94"/>
      <c r="F137" s="94"/>
      <c r="G137" s="98"/>
      <c r="H137" s="98"/>
      <c r="I137" s="98"/>
      <c r="J137" s="98"/>
      <c r="K137" s="98"/>
      <c r="L137" s="98"/>
      <c r="M137" s="98"/>
      <c r="N137" s="98"/>
      <c r="O137" s="98"/>
      <c r="P137" s="98" t="s">
        <v>765</v>
      </c>
      <c r="Q137" s="98"/>
    </row>
    <row r="138" spans="1:17" ht="23.25" customHeight="1" x14ac:dyDescent="0.6">
      <c r="A138" s="120" t="s">
        <v>1315</v>
      </c>
      <c r="B138" s="95" t="s">
        <v>1312</v>
      </c>
      <c r="C138" s="92"/>
      <c r="D138" s="93"/>
      <c r="E138" s="99">
        <v>222268</v>
      </c>
      <c r="F138" s="94" t="s">
        <v>1313</v>
      </c>
      <c r="G138" s="98"/>
      <c r="H138" s="98"/>
      <c r="I138" s="98"/>
      <c r="J138" s="98"/>
      <c r="K138" s="98"/>
      <c r="L138" s="98"/>
      <c r="M138" s="98"/>
      <c r="N138" s="98"/>
      <c r="O138" s="98"/>
      <c r="P138" s="98" t="s">
        <v>765</v>
      </c>
      <c r="Q138" s="98"/>
    </row>
    <row r="139" spans="1:17" ht="23.25" customHeight="1" x14ac:dyDescent="0.6">
      <c r="A139" s="91"/>
      <c r="B139" s="95"/>
      <c r="C139" s="92"/>
      <c r="D139" s="93"/>
      <c r="E139" s="94"/>
      <c r="F139" s="94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</row>
    <row r="140" spans="1:17" ht="23.25" customHeight="1" x14ac:dyDescent="0.6">
      <c r="A140" s="91"/>
      <c r="B140" s="95"/>
      <c r="C140" s="92"/>
      <c r="D140" s="93"/>
      <c r="E140" s="94"/>
      <c r="F140" s="94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</row>
    <row r="141" spans="1:17" ht="23.25" customHeight="1" x14ac:dyDescent="0.6">
      <c r="A141" s="91"/>
      <c r="B141" s="95"/>
      <c r="C141" s="92"/>
      <c r="D141" s="93"/>
      <c r="E141" s="94"/>
      <c r="F141" s="94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</row>
    <row r="142" spans="1:17" ht="23.25" customHeight="1" x14ac:dyDescent="0.6">
      <c r="A142" s="91"/>
      <c r="B142" s="95"/>
      <c r="C142" s="92"/>
      <c r="D142" s="93"/>
      <c r="E142" s="94"/>
      <c r="F142" s="94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</row>
    <row r="143" spans="1:17" ht="23.25" customHeight="1" x14ac:dyDescent="0.6">
      <c r="A143" s="91"/>
      <c r="B143" s="95"/>
      <c r="C143" s="92"/>
      <c r="D143" s="93"/>
      <c r="E143" s="94"/>
      <c r="F143" s="94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</row>
    <row r="144" spans="1:17" ht="23.25" customHeight="1" x14ac:dyDescent="0.6">
      <c r="A144" s="91"/>
      <c r="B144" s="95"/>
      <c r="C144" s="92"/>
      <c r="D144" s="93"/>
      <c r="E144" s="94"/>
      <c r="F144" s="94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</row>
    <row r="145" spans="1:17" ht="23.25" customHeight="1" x14ac:dyDescent="0.6">
      <c r="A145" s="91"/>
      <c r="B145" s="95"/>
      <c r="C145" s="92"/>
      <c r="D145" s="93"/>
      <c r="E145" s="94"/>
      <c r="F145" s="94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</row>
    <row r="146" spans="1:17" ht="23.25" customHeight="1" x14ac:dyDescent="0.6">
      <c r="A146" s="91"/>
      <c r="B146" s="95"/>
      <c r="C146" s="92"/>
      <c r="D146" s="93"/>
    </row>
    <row r="147" spans="1:17" ht="23.25" customHeight="1" x14ac:dyDescent="0.6">
      <c r="A147" s="91"/>
      <c r="B147" s="95"/>
      <c r="C147" s="92"/>
      <c r="D147" s="93"/>
    </row>
    <row r="148" spans="1:17" ht="23.25" customHeight="1" x14ac:dyDescent="0.6">
      <c r="A148" s="91"/>
      <c r="B148" s="95"/>
      <c r="C148" s="92"/>
      <c r="D148" s="93"/>
    </row>
    <row r="149" spans="1:17" ht="23.25" customHeight="1" x14ac:dyDescent="0.6">
      <c r="A149" s="91"/>
      <c r="B149" s="95"/>
      <c r="C149" s="92"/>
      <c r="D149" s="93"/>
    </row>
    <row r="150" spans="1:17" ht="23.25" customHeight="1" x14ac:dyDescent="0.6">
      <c r="A150" s="91"/>
      <c r="B150" s="95"/>
      <c r="C150" s="92"/>
      <c r="D150" s="93"/>
    </row>
    <row r="151" spans="1:17" ht="23.25" customHeight="1" x14ac:dyDescent="0.6">
      <c r="A151" s="91"/>
      <c r="B151" s="95"/>
      <c r="C151" s="92"/>
      <c r="D151" s="93"/>
    </row>
    <row r="152" spans="1:17" ht="23.25" customHeight="1" x14ac:dyDescent="0.6">
      <c r="A152" s="91"/>
      <c r="B152" s="95"/>
      <c r="C152" s="92"/>
      <c r="D152" s="93"/>
    </row>
    <row r="153" spans="1:17" ht="23.25" customHeight="1" x14ac:dyDescent="0.6">
      <c r="A153" s="91"/>
      <c r="B153" s="95"/>
      <c r="C153" s="92"/>
      <c r="D153" s="93"/>
    </row>
    <row r="154" spans="1:17" ht="23.25" customHeight="1" x14ac:dyDescent="0.6">
      <c r="A154" s="91"/>
      <c r="B154" s="95"/>
      <c r="C154" s="92"/>
      <c r="D154" s="93"/>
    </row>
    <row r="155" spans="1:17" ht="23.25" customHeight="1" x14ac:dyDescent="0.6">
      <c r="A155" s="91"/>
      <c r="B155" s="95"/>
      <c r="C155" s="92"/>
      <c r="D155" s="93"/>
    </row>
    <row r="156" spans="1:17" ht="23.25" customHeight="1" x14ac:dyDescent="0.6">
      <c r="A156" s="91"/>
      <c r="B156" s="95"/>
      <c r="C156" s="92"/>
      <c r="D156" s="93"/>
    </row>
    <row r="157" spans="1:17" ht="23.25" customHeight="1" x14ac:dyDescent="0.6">
      <c r="A157" s="91"/>
      <c r="B157" s="92"/>
      <c r="C157" s="92"/>
      <c r="D157" s="93"/>
    </row>
    <row r="158" spans="1:17" ht="23.25" customHeight="1" x14ac:dyDescent="0.6">
      <c r="A158" s="91"/>
      <c r="B158" s="92"/>
      <c r="C158" s="92"/>
      <c r="D158" s="93"/>
    </row>
    <row r="159" spans="1:17" ht="23.25" customHeight="1" x14ac:dyDescent="0.6">
      <c r="A159" s="91"/>
      <c r="B159" s="92"/>
      <c r="C159" s="92"/>
      <c r="D159" s="93"/>
    </row>
    <row r="160" spans="1:17" ht="23.25" customHeight="1" x14ac:dyDescent="0.6">
      <c r="A160" s="91"/>
      <c r="B160" s="92"/>
      <c r="C160" s="92"/>
      <c r="D160" s="93"/>
    </row>
    <row r="161" spans="1:4" ht="23.25" customHeight="1" x14ac:dyDescent="0.6">
      <c r="A161" s="91"/>
      <c r="B161" s="92"/>
      <c r="C161" s="92"/>
      <c r="D161" s="93"/>
    </row>
    <row r="162" spans="1:4" ht="23.25" customHeight="1" x14ac:dyDescent="0.6">
      <c r="A162" s="91"/>
      <c r="B162" s="92"/>
      <c r="C162" s="92"/>
      <c r="D162" s="93"/>
    </row>
    <row r="163" spans="1:4" ht="23.25" customHeight="1" x14ac:dyDescent="0.6">
      <c r="A163" s="91"/>
      <c r="B163" s="92"/>
      <c r="C163" s="92"/>
      <c r="D163" s="93"/>
    </row>
    <row r="164" spans="1:4" ht="23.25" customHeight="1" x14ac:dyDescent="0.6">
      <c r="A164" s="91"/>
      <c r="B164" s="92"/>
      <c r="C164" s="92"/>
      <c r="D164" s="93"/>
    </row>
    <row r="165" spans="1:4" ht="23.25" customHeight="1" x14ac:dyDescent="0.6">
      <c r="A165" s="91"/>
      <c r="B165" s="92"/>
      <c r="C165" s="92"/>
      <c r="D165" s="93"/>
    </row>
    <row r="166" spans="1:4" ht="23.25" customHeight="1" x14ac:dyDescent="0.6">
      <c r="A166" s="91"/>
      <c r="B166" s="92"/>
      <c r="C166" s="92"/>
      <c r="D166" s="93"/>
    </row>
    <row r="167" spans="1:4" ht="23.25" customHeight="1" x14ac:dyDescent="0.6">
      <c r="A167" s="91"/>
      <c r="B167" s="92"/>
      <c r="C167" s="92"/>
      <c r="D167" s="93"/>
    </row>
    <row r="168" spans="1:4" ht="23.25" customHeight="1" x14ac:dyDescent="0.6">
      <c r="A168" s="91"/>
      <c r="B168" s="92"/>
      <c r="C168" s="92"/>
      <c r="D168" s="93"/>
    </row>
    <row r="169" spans="1:4" ht="23.25" customHeight="1" x14ac:dyDescent="0.6">
      <c r="A169" s="91"/>
      <c r="B169" s="92"/>
      <c r="C169" s="92"/>
      <c r="D169" s="93"/>
    </row>
    <row r="170" spans="1:4" ht="23.25" customHeight="1" x14ac:dyDescent="0.6">
      <c r="A170" s="91"/>
      <c r="B170" s="92"/>
      <c r="C170" s="92"/>
      <c r="D170" s="93"/>
    </row>
    <row r="171" spans="1:4" ht="23.25" customHeight="1" x14ac:dyDescent="0.6">
      <c r="A171" s="91"/>
      <c r="B171" s="92"/>
      <c r="C171" s="92"/>
      <c r="D171" s="93"/>
    </row>
    <row r="172" spans="1:4" ht="23.25" customHeight="1" x14ac:dyDescent="0.6">
      <c r="A172" s="91"/>
      <c r="B172" s="92"/>
      <c r="C172" s="92"/>
      <c r="D172" s="93"/>
    </row>
    <row r="173" spans="1:4" ht="23.25" customHeight="1" x14ac:dyDescent="0.6">
      <c r="A173" s="91"/>
      <c r="B173" s="92"/>
      <c r="C173" s="92"/>
      <c r="D173" s="93"/>
    </row>
    <row r="174" spans="1:4" ht="23.25" customHeight="1" x14ac:dyDescent="0.6">
      <c r="A174" s="91"/>
      <c r="B174" s="92"/>
      <c r="C174" s="92"/>
      <c r="D174" s="93"/>
    </row>
    <row r="175" spans="1:4" ht="23.25" customHeight="1" x14ac:dyDescent="0.6">
      <c r="A175" s="91"/>
      <c r="B175" s="92"/>
      <c r="C175" s="92"/>
      <c r="D175" s="93"/>
    </row>
    <row r="176" spans="1:4" ht="23.25" customHeight="1" x14ac:dyDescent="0.6">
      <c r="A176" s="91"/>
      <c r="B176" s="92"/>
      <c r="C176" s="92"/>
      <c r="D176" s="93"/>
    </row>
    <row r="177" spans="1:4" ht="23.25" customHeight="1" x14ac:dyDescent="0.6">
      <c r="A177" s="91"/>
      <c r="B177" s="92"/>
      <c r="C177" s="92"/>
      <c r="D177" s="93"/>
    </row>
    <row r="178" spans="1:4" ht="23.25" customHeight="1" x14ac:dyDescent="0.6">
      <c r="A178" s="91"/>
      <c r="B178" s="92"/>
      <c r="C178" s="92"/>
      <c r="D178" s="93"/>
    </row>
    <row r="179" spans="1:4" ht="23.25" customHeight="1" x14ac:dyDescent="0.6">
      <c r="A179" s="91"/>
      <c r="B179" s="92"/>
      <c r="C179" s="92"/>
      <c r="D179" s="93"/>
    </row>
    <row r="180" spans="1:4" ht="23.25" customHeight="1" x14ac:dyDescent="0.6">
      <c r="A180" s="91"/>
      <c r="B180" s="92"/>
      <c r="C180" s="92"/>
      <c r="D180" s="93"/>
    </row>
    <row r="181" spans="1:4" ht="23.25" customHeight="1" x14ac:dyDescent="0.6">
      <c r="A181" s="91"/>
      <c r="B181" s="92"/>
      <c r="C181" s="92"/>
      <c r="D181" s="93"/>
    </row>
    <row r="182" spans="1:4" ht="23.25" customHeight="1" x14ac:dyDescent="0.6">
      <c r="A182" s="91"/>
      <c r="B182" s="92"/>
      <c r="C182" s="92"/>
      <c r="D182" s="93"/>
    </row>
    <row r="183" spans="1:4" ht="23.25" customHeight="1" x14ac:dyDescent="0.6">
      <c r="A183" s="91"/>
      <c r="B183" s="92"/>
      <c r="C183" s="92"/>
      <c r="D183" s="93"/>
    </row>
    <row r="184" spans="1:4" ht="23.25" customHeight="1" x14ac:dyDescent="0.6">
      <c r="A184" s="91"/>
      <c r="B184" s="92"/>
      <c r="C184" s="92"/>
      <c r="D184" s="93"/>
    </row>
    <row r="185" spans="1:4" ht="23.25" customHeight="1" x14ac:dyDescent="0.6">
      <c r="A185" s="91"/>
      <c r="B185" s="92"/>
      <c r="C185" s="92"/>
      <c r="D185" s="93"/>
    </row>
    <row r="186" spans="1:4" ht="23.25" customHeight="1" x14ac:dyDescent="0.6">
      <c r="A186" s="91"/>
      <c r="B186" s="92"/>
      <c r="C186" s="92"/>
      <c r="D186" s="93"/>
    </row>
    <row r="187" spans="1:4" ht="23.25" customHeight="1" x14ac:dyDescent="0.6">
      <c r="A187" s="91"/>
      <c r="B187" s="92"/>
      <c r="C187" s="92"/>
      <c r="D187" s="93"/>
    </row>
    <row r="188" spans="1:4" ht="23.25" customHeight="1" x14ac:dyDescent="0.6">
      <c r="A188" s="91"/>
      <c r="B188" s="92"/>
      <c r="C188" s="92"/>
      <c r="D188" s="93"/>
    </row>
    <row r="189" spans="1:4" ht="23.25" customHeight="1" x14ac:dyDescent="0.6">
      <c r="A189" s="91"/>
      <c r="B189" s="92"/>
      <c r="C189" s="92"/>
      <c r="D189" s="93"/>
    </row>
    <row r="190" spans="1:4" ht="23.25" customHeight="1" x14ac:dyDescent="0.6">
      <c r="A190" s="91"/>
      <c r="B190" s="92"/>
      <c r="C190" s="92"/>
      <c r="D190" s="93"/>
    </row>
    <row r="191" spans="1:4" ht="23.25" customHeight="1" x14ac:dyDescent="0.6">
      <c r="A191" s="91"/>
      <c r="B191" s="92"/>
      <c r="C191" s="92"/>
      <c r="D191" s="93"/>
    </row>
    <row r="192" spans="1:4" ht="23.25" customHeight="1" x14ac:dyDescent="0.6">
      <c r="A192" s="91"/>
      <c r="B192" s="92"/>
      <c r="C192" s="92"/>
      <c r="D192" s="93"/>
    </row>
    <row r="193" spans="1:4" ht="23.25" customHeight="1" x14ac:dyDescent="0.6">
      <c r="A193" s="91"/>
      <c r="B193" s="92"/>
      <c r="C193" s="92"/>
      <c r="D193" s="93"/>
    </row>
    <row r="194" spans="1:4" ht="23.25" customHeight="1" x14ac:dyDescent="0.6">
      <c r="A194" s="91"/>
      <c r="B194" s="92"/>
      <c r="C194" s="92"/>
      <c r="D194" s="93"/>
    </row>
    <row r="195" spans="1:4" ht="23.25" customHeight="1" x14ac:dyDescent="0.6">
      <c r="A195" s="91"/>
      <c r="B195" s="92"/>
      <c r="C195" s="92"/>
      <c r="D195" s="93"/>
    </row>
    <row r="196" spans="1:4" ht="23.25" customHeight="1" x14ac:dyDescent="0.6">
      <c r="A196" s="91"/>
      <c r="B196" s="92"/>
      <c r="C196" s="92"/>
      <c r="D196" s="93"/>
    </row>
    <row r="197" spans="1:4" ht="23.25" customHeight="1" x14ac:dyDescent="0.6">
      <c r="A197" s="91"/>
      <c r="B197" s="92"/>
      <c r="C197" s="92"/>
      <c r="D197" s="93"/>
    </row>
    <row r="198" spans="1:4" ht="23.25" customHeight="1" x14ac:dyDescent="0.6">
      <c r="A198" s="91"/>
      <c r="B198" s="92"/>
      <c r="C198" s="92"/>
      <c r="D198" s="93"/>
    </row>
    <row r="199" spans="1:4" ht="23.25" customHeight="1" x14ac:dyDescent="0.6">
      <c r="A199" s="91"/>
      <c r="B199" s="92"/>
      <c r="C199" s="92"/>
      <c r="D199" s="93"/>
    </row>
    <row r="200" spans="1:4" ht="23.25" customHeight="1" x14ac:dyDescent="0.6">
      <c r="A200" s="91"/>
      <c r="B200" s="92"/>
      <c r="C200" s="92"/>
      <c r="D200" s="93"/>
    </row>
    <row r="201" spans="1:4" ht="23.25" customHeight="1" x14ac:dyDescent="0.6">
      <c r="A201" s="91"/>
      <c r="B201" s="92"/>
      <c r="C201" s="92"/>
      <c r="D201" s="93"/>
    </row>
    <row r="202" spans="1:4" ht="23.25" customHeight="1" x14ac:dyDescent="0.6">
      <c r="A202" s="91"/>
      <c r="B202" s="92"/>
      <c r="C202" s="92"/>
      <c r="D202" s="93"/>
    </row>
    <row r="203" spans="1:4" ht="23.25" customHeight="1" x14ac:dyDescent="0.6">
      <c r="A203" s="91"/>
      <c r="B203" s="92"/>
      <c r="C203" s="92"/>
      <c r="D203" s="93"/>
    </row>
    <row r="204" spans="1:4" ht="23.25" customHeight="1" x14ac:dyDescent="0.6">
      <c r="A204" s="91"/>
      <c r="B204" s="92"/>
      <c r="C204" s="92"/>
      <c r="D204" s="93"/>
    </row>
    <row r="205" spans="1:4" ht="23.25" customHeight="1" x14ac:dyDescent="0.6">
      <c r="A205" s="91"/>
      <c r="B205" s="92"/>
      <c r="C205" s="92"/>
      <c r="D205" s="93"/>
    </row>
    <row r="206" spans="1:4" ht="23.25" customHeight="1" x14ac:dyDescent="0.6">
      <c r="A206" s="91"/>
      <c r="B206" s="92"/>
      <c r="C206" s="92"/>
      <c r="D206" s="93"/>
    </row>
    <row r="207" spans="1:4" ht="23.25" customHeight="1" x14ac:dyDescent="0.6">
      <c r="A207" s="91"/>
      <c r="B207" s="92"/>
      <c r="C207" s="92"/>
      <c r="D207" s="93"/>
    </row>
    <row r="208" spans="1:4" ht="23.25" customHeight="1" x14ac:dyDescent="0.6">
      <c r="A208" s="91"/>
      <c r="B208" s="92"/>
      <c r="C208" s="92"/>
      <c r="D208" s="93"/>
    </row>
    <row r="209" spans="1:4" ht="23.25" customHeight="1" x14ac:dyDescent="0.6">
      <c r="A209" s="91"/>
      <c r="B209" s="92"/>
      <c r="C209" s="92"/>
      <c r="D209" s="93"/>
    </row>
    <row r="210" spans="1:4" ht="23.25" customHeight="1" x14ac:dyDescent="0.6">
      <c r="A210" s="91"/>
      <c r="B210" s="92"/>
      <c r="C210" s="92"/>
      <c r="D210" s="93"/>
    </row>
    <row r="211" spans="1:4" ht="23.25" customHeight="1" x14ac:dyDescent="0.6">
      <c r="A211" s="91"/>
      <c r="B211" s="92"/>
      <c r="C211" s="92"/>
      <c r="D211" s="93"/>
    </row>
    <row r="212" spans="1:4" ht="23.25" customHeight="1" x14ac:dyDescent="0.6">
      <c r="A212" s="91"/>
      <c r="B212" s="92"/>
      <c r="C212" s="92"/>
      <c r="D212" s="93"/>
    </row>
    <row r="213" spans="1:4" ht="23.25" customHeight="1" x14ac:dyDescent="0.6">
      <c r="A213" s="91"/>
      <c r="B213" s="92"/>
      <c r="C213" s="92"/>
      <c r="D213" s="93"/>
    </row>
    <row r="214" spans="1:4" ht="23.25" customHeight="1" x14ac:dyDescent="0.6">
      <c r="A214" s="91"/>
      <c r="B214" s="92"/>
      <c r="C214" s="92"/>
      <c r="D214" s="93"/>
    </row>
    <row r="215" spans="1:4" ht="23.25" customHeight="1" x14ac:dyDescent="0.6">
      <c r="A215" s="91"/>
      <c r="B215" s="92"/>
      <c r="C215" s="92"/>
      <c r="D215" s="93"/>
    </row>
    <row r="216" spans="1:4" ht="23.25" customHeight="1" x14ac:dyDescent="0.6">
      <c r="A216" s="91"/>
      <c r="B216" s="92"/>
      <c r="C216" s="92"/>
      <c r="D216" s="93"/>
    </row>
    <row r="217" spans="1:4" ht="23.25" customHeight="1" x14ac:dyDescent="0.6">
      <c r="A217" s="91"/>
      <c r="B217" s="92"/>
      <c r="C217" s="92"/>
      <c r="D217" s="93"/>
    </row>
    <row r="218" spans="1:4" ht="23.25" customHeight="1" x14ac:dyDescent="0.6">
      <c r="A218" s="91"/>
      <c r="B218" s="92"/>
      <c r="C218" s="92"/>
      <c r="D218" s="93"/>
    </row>
    <row r="219" spans="1:4" ht="23.25" customHeight="1" x14ac:dyDescent="0.6">
      <c r="A219" s="91"/>
      <c r="B219" s="92"/>
      <c r="C219" s="92"/>
      <c r="D219" s="93"/>
    </row>
    <row r="220" spans="1:4" ht="23.25" customHeight="1" x14ac:dyDescent="0.6">
      <c r="A220" s="91"/>
      <c r="B220" s="92"/>
      <c r="C220" s="92"/>
      <c r="D220" s="93"/>
    </row>
    <row r="221" spans="1:4" ht="23.25" customHeight="1" x14ac:dyDescent="0.6">
      <c r="A221" s="91"/>
      <c r="B221" s="92"/>
      <c r="C221" s="92"/>
      <c r="D221" s="93"/>
    </row>
    <row r="222" spans="1:4" ht="23.25" customHeight="1" x14ac:dyDescent="0.6">
      <c r="A222" s="91"/>
      <c r="B222" s="92"/>
      <c r="C222" s="92"/>
      <c r="D222" s="93"/>
    </row>
    <row r="223" spans="1:4" ht="23.25" customHeight="1" x14ac:dyDescent="0.6">
      <c r="A223" s="91"/>
      <c r="B223" s="92"/>
      <c r="C223" s="92"/>
      <c r="D223" s="93"/>
    </row>
    <row r="224" spans="1:4" ht="23.25" customHeight="1" x14ac:dyDescent="0.6">
      <c r="A224" s="91"/>
      <c r="B224" s="92"/>
      <c r="C224" s="92"/>
      <c r="D224" s="93"/>
    </row>
    <row r="225" spans="1:4" ht="23.25" customHeight="1" x14ac:dyDescent="0.6">
      <c r="A225" s="91"/>
      <c r="B225" s="92"/>
      <c r="C225" s="92"/>
      <c r="D225" s="93"/>
    </row>
    <row r="226" spans="1:4" ht="23.25" customHeight="1" x14ac:dyDescent="0.6">
      <c r="A226" s="91"/>
      <c r="B226" s="92"/>
      <c r="C226" s="92"/>
      <c r="D226" s="93"/>
    </row>
    <row r="227" spans="1:4" ht="23.25" customHeight="1" x14ac:dyDescent="0.6">
      <c r="A227" s="91"/>
      <c r="B227" s="92"/>
      <c r="C227" s="92"/>
      <c r="D227" s="93"/>
    </row>
    <row r="228" spans="1:4" ht="23.25" customHeight="1" x14ac:dyDescent="0.6">
      <c r="A228" s="91"/>
      <c r="B228" s="92"/>
      <c r="C228" s="92"/>
      <c r="D228" s="93"/>
    </row>
    <row r="229" spans="1:4" ht="23.25" customHeight="1" x14ac:dyDescent="0.6">
      <c r="A229" s="91"/>
      <c r="B229" s="92"/>
      <c r="C229" s="92"/>
      <c r="D229" s="93"/>
    </row>
    <row r="230" spans="1:4" ht="23.25" customHeight="1" x14ac:dyDescent="0.6">
      <c r="A230" s="91"/>
      <c r="B230" s="92"/>
      <c r="C230" s="92"/>
      <c r="D230" s="93"/>
    </row>
    <row r="231" spans="1:4" ht="23.25" customHeight="1" x14ac:dyDescent="0.6">
      <c r="A231" s="91"/>
      <c r="B231" s="92"/>
      <c r="C231" s="92"/>
      <c r="D231" s="93"/>
    </row>
    <row r="232" spans="1:4" ht="23.25" customHeight="1" x14ac:dyDescent="0.6">
      <c r="A232" s="91"/>
      <c r="B232" s="92"/>
      <c r="C232" s="92"/>
      <c r="D232" s="93"/>
    </row>
    <row r="233" spans="1:4" ht="23.25" customHeight="1" x14ac:dyDescent="0.6">
      <c r="A233" s="91"/>
      <c r="B233" s="92"/>
      <c r="C233" s="92"/>
      <c r="D233" s="93"/>
    </row>
    <row r="234" spans="1:4" ht="23.25" customHeight="1" x14ac:dyDescent="0.6">
      <c r="A234" s="91"/>
      <c r="B234" s="92"/>
      <c r="C234" s="92"/>
      <c r="D234" s="93"/>
    </row>
    <row r="235" spans="1:4" ht="23.25" customHeight="1" x14ac:dyDescent="0.6">
      <c r="A235" s="91"/>
      <c r="B235" s="92"/>
      <c r="C235" s="92"/>
      <c r="D235" s="93"/>
    </row>
    <row r="236" spans="1:4" ht="23.25" customHeight="1" x14ac:dyDescent="0.6">
      <c r="A236" s="91"/>
      <c r="B236" s="92"/>
      <c r="C236" s="92"/>
      <c r="D236" s="93"/>
    </row>
    <row r="237" spans="1:4" ht="23.25" customHeight="1" x14ac:dyDescent="0.6">
      <c r="A237" s="91"/>
      <c r="B237" s="92"/>
      <c r="C237" s="92"/>
      <c r="D237" s="93"/>
    </row>
    <row r="238" spans="1:4" ht="23.25" customHeight="1" x14ac:dyDescent="0.6">
      <c r="A238" s="91"/>
      <c r="B238" s="92"/>
      <c r="C238" s="92"/>
      <c r="D238" s="93"/>
    </row>
    <row r="239" spans="1:4" ht="23.25" customHeight="1" x14ac:dyDescent="0.6">
      <c r="A239" s="91"/>
      <c r="B239" s="92"/>
      <c r="C239" s="92"/>
      <c r="D239" s="93"/>
    </row>
    <row r="240" spans="1:4" ht="23.25" customHeight="1" x14ac:dyDescent="0.6">
      <c r="A240" s="91"/>
      <c r="B240" s="92"/>
      <c r="C240" s="92"/>
      <c r="D240" s="93"/>
    </row>
    <row r="241" spans="1:4" ht="23.25" customHeight="1" x14ac:dyDescent="0.6">
      <c r="A241" s="91"/>
      <c r="B241" s="92"/>
      <c r="C241" s="92"/>
      <c r="D241" s="93"/>
    </row>
    <row r="242" spans="1:4" ht="23.25" customHeight="1" x14ac:dyDescent="0.6">
      <c r="A242" s="91"/>
      <c r="B242" s="92"/>
      <c r="C242" s="92"/>
      <c r="D242" s="93"/>
    </row>
    <row r="243" spans="1:4" ht="23.25" customHeight="1" x14ac:dyDescent="0.6">
      <c r="A243" s="91"/>
      <c r="B243" s="92"/>
      <c r="C243" s="92"/>
      <c r="D243" s="93"/>
    </row>
    <row r="244" spans="1:4" ht="23.25" customHeight="1" x14ac:dyDescent="0.6">
      <c r="A244" s="91"/>
      <c r="B244" s="92"/>
      <c r="C244" s="92"/>
      <c r="D244" s="93"/>
    </row>
    <row r="245" spans="1:4" ht="23.25" customHeight="1" x14ac:dyDescent="0.6">
      <c r="A245" s="91"/>
      <c r="B245" s="92"/>
      <c r="C245" s="92"/>
      <c r="D245" s="93"/>
    </row>
    <row r="246" spans="1:4" ht="23.25" customHeight="1" x14ac:dyDescent="0.6">
      <c r="A246" s="91"/>
      <c r="B246" s="92"/>
      <c r="C246" s="92"/>
      <c r="D246" s="93"/>
    </row>
    <row r="247" spans="1:4" ht="23.25" customHeight="1" x14ac:dyDescent="0.6">
      <c r="A247" s="91"/>
      <c r="B247" s="92"/>
      <c r="C247" s="92"/>
      <c r="D247" s="93"/>
    </row>
    <row r="248" spans="1:4" ht="23.25" customHeight="1" x14ac:dyDescent="0.6">
      <c r="A248" s="91"/>
      <c r="B248" s="92"/>
      <c r="C248" s="92"/>
      <c r="D248" s="93"/>
    </row>
    <row r="249" spans="1:4" ht="23.25" customHeight="1" x14ac:dyDescent="0.6">
      <c r="A249" s="91"/>
      <c r="B249" s="92"/>
      <c r="C249" s="92"/>
      <c r="D249" s="93"/>
    </row>
    <row r="250" spans="1:4" ht="23.25" customHeight="1" x14ac:dyDescent="0.6">
      <c r="A250" s="91"/>
      <c r="B250" s="92"/>
      <c r="C250" s="92"/>
      <c r="D250" s="93"/>
    </row>
    <row r="251" spans="1:4" ht="23.25" customHeight="1" x14ac:dyDescent="0.6">
      <c r="A251" s="91"/>
      <c r="B251" s="92"/>
      <c r="C251" s="92"/>
      <c r="D251" s="93"/>
    </row>
    <row r="252" spans="1:4" ht="23.25" customHeight="1" x14ac:dyDescent="0.6">
      <c r="A252" s="91"/>
      <c r="B252" s="92"/>
      <c r="C252" s="92"/>
      <c r="D252" s="93"/>
    </row>
    <row r="253" spans="1:4" ht="23.25" customHeight="1" x14ac:dyDescent="0.6">
      <c r="A253" s="91"/>
      <c r="B253" s="92"/>
      <c r="C253" s="92"/>
      <c r="D253" s="93"/>
    </row>
    <row r="254" spans="1:4" ht="23.25" customHeight="1" x14ac:dyDescent="0.6">
      <c r="A254" s="91"/>
      <c r="B254" s="92"/>
      <c r="C254" s="92"/>
      <c r="D254" s="93"/>
    </row>
    <row r="255" spans="1:4" ht="23.25" customHeight="1" x14ac:dyDescent="0.6">
      <c r="A255" s="91"/>
      <c r="B255" s="92"/>
      <c r="C255" s="92"/>
      <c r="D255" s="93"/>
    </row>
    <row r="256" spans="1:4" ht="23.25" customHeight="1" x14ac:dyDescent="0.6">
      <c r="A256" s="91"/>
      <c r="B256" s="92"/>
      <c r="C256" s="92"/>
      <c r="D256" s="93"/>
    </row>
    <row r="257" spans="1:4" ht="23.25" customHeight="1" x14ac:dyDescent="0.6">
      <c r="A257" s="91"/>
      <c r="B257" s="92"/>
      <c r="C257" s="92"/>
      <c r="D257" s="93"/>
    </row>
    <row r="258" spans="1:4" ht="23.25" customHeight="1" x14ac:dyDescent="0.6">
      <c r="A258" s="91"/>
      <c r="B258" s="92"/>
      <c r="C258" s="92"/>
      <c r="D258" s="93"/>
    </row>
    <row r="259" spans="1:4" ht="23.25" customHeight="1" x14ac:dyDescent="0.6">
      <c r="A259" s="91"/>
      <c r="B259" s="92"/>
      <c r="C259" s="92"/>
      <c r="D259" s="93"/>
    </row>
    <row r="260" spans="1:4" ht="23.25" customHeight="1" x14ac:dyDescent="0.6">
      <c r="A260" s="91"/>
      <c r="B260" s="92"/>
      <c r="C260" s="92"/>
      <c r="D260" s="93"/>
    </row>
    <row r="261" spans="1:4" ht="23.25" customHeight="1" x14ac:dyDescent="0.6">
      <c r="A261" s="91"/>
      <c r="B261" s="92"/>
      <c r="C261" s="92"/>
      <c r="D261" s="93"/>
    </row>
    <row r="262" spans="1:4" ht="23.25" customHeight="1" x14ac:dyDescent="0.6">
      <c r="A262" s="91"/>
      <c r="B262" s="92"/>
      <c r="C262" s="92"/>
      <c r="D262" s="93"/>
    </row>
    <row r="263" spans="1:4" ht="23.25" customHeight="1" x14ac:dyDescent="0.6">
      <c r="A263" s="91"/>
      <c r="B263" s="92"/>
      <c r="C263" s="92"/>
      <c r="D263" s="93"/>
    </row>
    <row r="264" spans="1:4" ht="23.25" customHeight="1" x14ac:dyDescent="0.6">
      <c r="A264" s="91"/>
      <c r="B264" s="95"/>
      <c r="C264" s="95"/>
      <c r="D264" s="93"/>
    </row>
    <row r="265" spans="1:4" ht="23.25" customHeight="1" x14ac:dyDescent="0.6">
      <c r="A265" s="91"/>
      <c r="B265" s="92"/>
      <c r="C265" s="92"/>
      <c r="D265" s="93"/>
    </row>
    <row r="266" spans="1:4" ht="23.25" customHeight="1" x14ac:dyDescent="0.6">
      <c r="A266" s="91"/>
      <c r="B266" s="92"/>
      <c r="C266" s="92"/>
      <c r="D266" s="93"/>
    </row>
    <row r="267" spans="1:4" ht="23.25" customHeight="1" x14ac:dyDescent="0.6">
      <c r="A267" s="91"/>
      <c r="B267" s="92"/>
      <c r="C267" s="92"/>
      <c r="D267" s="93"/>
    </row>
    <row r="268" spans="1:4" ht="23.25" customHeight="1" x14ac:dyDescent="0.6">
      <c r="A268" s="91"/>
      <c r="B268" s="92"/>
      <c r="C268" s="92"/>
      <c r="D268" s="93"/>
    </row>
    <row r="269" spans="1:4" ht="23.25" customHeight="1" x14ac:dyDescent="0.6">
      <c r="A269" s="91"/>
      <c r="B269" s="92"/>
      <c r="C269" s="92"/>
      <c r="D269" s="93"/>
    </row>
    <row r="270" spans="1:4" ht="23.25" customHeight="1" x14ac:dyDescent="0.6">
      <c r="A270" s="91"/>
      <c r="B270" s="92"/>
      <c r="C270" s="92"/>
      <c r="D270" s="93"/>
    </row>
    <row r="271" spans="1:4" ht="23.25" customHeight="1" x14ac:dyDescent="0.6">
      <c r="A271" s="91"/>
      <c r="B271" s="92"/>
      <c r="C271" s="92"/>
      <c r="D271" s="93"/>
    </row>
    <row r="272" spans="1:4" ht="23.25" customHeight="1" x14ac:dyDescent="0.6">
      <c r="A272" s="91"/>
      <c r="B272" s="92"/>
      <c r="C272" s="92"/>
      <c r="D272" s="93"/>
    </row>
    <row r="273" spans="1:4" ht="23.25" customHeight="1" x14ac:dyDescent="0.6">
      <c r="A273" s="91"/>
      <c r="B273" s="92"/>
      <c r="C273" s="92"/>
      <c r="D273" s="93"/>
    </row>
    <row r="274" spans="1:4" ht="23.25" customHeight="1" x14ac:dyDescent="0.6">
      <c r="A274" s="91"/>
      <c r="B274" s="92"/>
      <c r="C274" s="92"/>
      <c r="D274" s="93"/>
    </row>
    <row r="275" spans="1:4" ht="23.25" customHeight="1" x14ac:dyDescent="0.6">
      <c r="A275" s="91"/>
      <c r="B275" s="92"/>
      <c r="C275" s="92"/>
      <c r="D275" s="93"/>
    </row>
    <row r="276" spans="1:4" ht="23.25" customHeight="1" x14ac:dyDescent="0.6">
      <c r="A276" s="91"/>
      <c r="B276" s="92"/>
      <c r="C276" s="92"/>
      <c r="D276" s="93"/>
    </row>
    <row r="277" spans="1:4" ht="23.25" customHeight="1" x14ac:dyDescent="0.6">
      <c r="A277" s="91"/>
      <c r="B277" s="92"/>
      <c r="C277" s="92"/>
      <c r="D277" s="93"/>
    </row>
    <row r="278" spans="1:4" ht="23.25" customHeight="1" x14ac:dyDescent="0.6">
      <c r="A278" s="91"/>
      <c r="B278" s="92"/>
      <c r="C278" s="92"/>
      <c r="D278" s="93"/>
    </row>
    <row r="279" spans="1:4" ht="23.25" customHeight="1" x14ac:dyDescent="0.6">
      <c r="A279" s="91"/>
      <c r="B279" s="92"/>
      <c r="C279" s="92"/>
      <c r="D279" s="93"/>
    </row>
    <row r="280" spans="1:4" ht="23.25" customHeight="1" x14ac:dyDescent="0.6">
      <c r="A280" s="91"/>
      <c r="B280" s="92"/>
      <c r="C280" s="92"/>
      <c r="D280" s="93"/>
    </row>
    <row r="281" spans="1:4" ht="23.25" customHeight="1" x14ac:dyDescent="0.6">
      <c r="A281" s="91"/>
      <c r="B281" s="92"/>
      <c r="C281" s="92"/>
      <c r="D281" s="93"/>
    </row>
    <row r="282" spans="1:4" ht="23.25" customHeight="1" x14ac:dyDescent="0.6">
      <c r="A282" s="91"/>
      <c r="B282" s="92"/>
      <c r="C282" s="92"/>
      <c r="D282" s="93"/>
    </row>
    <row r="283" spans="1:4" ht="23.25" customHeight="1" x14ac:dyDescent="0.6">
      <c r="A283" s="91"/>
      <c r="B283" s="92"/>
      <c r="C283" s="92"/>
      <c r="D283" s="93"/>
    </row>
    <row r="284" spans="1:4" ht="23.25" customHeight="1" x14ac:dyDescent="0.6">
      <c r="A284" s="91"/>
      <c r="B284" s="92"/>
      <c r="C284" s="92"/>
      <c r="D284" s="93"/>
    </row>
    <row r="285" spans="1:4" ht="23.25" customHeight="1" x14ac:dyDescent="0.6">
      <c r="A285" s="91"/>
      <c r="B285" s="92"/>
      <c r="C285" s="92"/>
      <c r="D285" s="93"/>
    </row>
    <row r="286" spans="1:4" ht="23.25" customHeight="1" x14ac:dyDescent="0.6">
      <c r="A286" s="91"/>
      <c r="B286" s="92"/>
      <c r="C286" s="92"/>
      <c r="D286" s="93"/>
    </row>
    <row r="287" spans="1:4" ht="23.25" customHeight="1" x14ac:dyDescent="0.6">
      <c r="A287" s="91"/>
      <c r="B287" s="92"/>
      <c r="C287" s="92"/>
      <c r="D287" s="93"/>
    </row>
    <row r="288" spans="1:4" ht="23.25" customHeight="1" x14ac:dyDescent="0.6">
      <c r="A288" s="91"/>
      <c r="B288" s="92"/>
      <c r="C288" s="92"/>
      <c r="D288" s="93"/>
    </row>
    <row r="289" spans="1:4" ht="23.25" customHeight="1" x14ac:dyDescent="0.6">
      <c r="A289" s="91"/>
      <c r="B289" s="92"/>
      <c r="C289" s="92"/>
      <c r="D289" s="93"/>
    </row>
    <row r="290" spans="1:4" ht="23.25" customHeight="1" x14ac:dyDescent="0.6">
      <c r="A290" s="91"/>
      <c r="B290" s="92"/>
      <c r="C290" s="92"/>
      <c r="D290" s="93"/>
    </row>
    <row r="291" spans="1:4" ht="23.25" customHeight="1" x14ac:dyDescent="0.6">
      <c r="A291" s="91"/>
      <c r="B291" s="92"/>
      <c r="C291" s="92"/>
      <c r="D291" s="93"/>
    </row>
    <row r="292" spans="1:4" ht="23.25" customHeight="1" x14ac:dyDescent="0.6">
      <c r="A292" s="91"/>
      <c r="B292" s="92"/>
      <c r="C292" s="92"/>
      <c r="D292" s="93"/>
    </row>
    <row r="293" spans="1:4" ht="23.25" customHeight="1" x14ac:dyDescent="0.6">
      <c r="A293" s="91"/>
      <c r="B293" s="92"/>
      <c r="C293" s="92"/>
      <c r="D293" s="93"/>
    </row>
    <row r="294" spans="1:4" ht="23.25" customHeight="1" x14ac:dyDescent="0.6">
      <c r="A294" s="91"/>
      <c r="B294" s="92"/>
      <c r="C294" s="92"/>
      <c r="D294" s="93"/>
    </row>
    <row r="295" spans="1:4" ht="23.25" customHeight="1" x14ac:dyDescent="0.6">
      <c r="A295" s="91"/>
      <c r="B295" s="92"/>
      <c r="C295" s="92"/>
      <c r="D295" s="93"/>
    </row>
    <row r="296" spans="1:4" ht="23.25" customHeight="1" x14ac:dyDescent="0.6"/>
  </sheetData>
  <mergeCells count="12">
    <mergeCell ref="K2:L2"/>
    <mergeCell ref="M2:O2"/>
    <mergeCell ref="A2:A3"/>
    <mergeCell ref="B2:B3"/>
    <mergeCell ref="C2:C3"/>
    <mergeCell ref="D2:D3"/>
    <mergeCell ref="J2:J3"/>
    <mergeCell ref="E2:E3"/>
    <mergeCell ref="F2:F3"/>
    <mergeCell ref="H2:H3"/>
    <mergeCell ref="I2:I3"/>
    <mergeCell ref="G2:G3"/>
  </mergeCells>
  <phoneticPr fontId="31" type="noConversion"/>
  <pageMargins left="0.75" right="0.5" top="0.5" bottom="0.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965-6F23-4AB1-A787-958CA770C455}">
  <sheetPr>
    <tabColor rgb="FFFFFF00"/>
  </sheetPr>
  <dimension ref="A1:F5"/>
  <sheetViews>
    <sheetView workbookViewId="0">
      <selection activeCell="F5" sqref="F5"/>
    </sheetView>
  </sheetViews>
  <sheetFormatPr defaultColWidth="9" defaultRowHeight="26" x14ac:dyDescent="0.8"/>
  <cols>
    <col min="1" max="1" width="6.25" style="111" customWidth="1"/>
    <col min="2" max="2" width="25.58203125" style="111" customWidth="1"/>
    <col min="3" max="3" width="27.25" style="111" customWidth="1"/>
    <col min="4" max="4" width="14.58203125" style="111" customWidth="1"/>
    <col min="5" max="5" width="26.83203125" style="111" customWidth="1"/>
    <col min="6" max="6" width="19.25" style="111" customWidth="1"/>
    <col min="7" max="16384" width="9" style="111"/>
  </cols>
  <sheetData>
    <row r="1" spans="1:6" s="110" customFormat="1" x14ac:dyDescent="0.8">
      <c r="A1" s="110" t="s">
        <v>779</v>
      </c>
      <c r="B1" s="110" t="s">
        <v>780</v>
      </c>
      <c r="C1" s="110" t="s">
        <v>781</v>
      </c>
      <c r="D1" s="110" t="s">
        <v>782</v>
      </c>
      <c r="E1" s="110" t="s">
        <v>783</v>
      </c>
      <c r="F1" s="110" t="s">
        <v>795</v>
      </c>
    </row>
    <row r="2" spans="1:6" x14ac:dyDescent="0.8">
      <c r="A2" s="110">
        <v>1</v>
      </c>
      <c r="B2" s="111" t="s">
        <v>784</v>
      </c>
      <c r="C2" s="111" t="s">
        <v>785</v>
      </c>
      <c r="D2" s="110" t="s">
        <v>1316</v>
      </c>
      <c r="E2" s="111" t="s">
        <v>791</v>
      </c>
      <c r="F2" s="111" t="s">
        <v>796</v>
      </c>
    </row>
    <row r="3" spans="1:6" x14ac:dyDescent="0.8">
      <c r="A3" s="110">
        <v>2</v>
      </c>
      <c r="B3" s="111" t="s">
        <v>786</v>
      </c>
      <c r="C3" s="111" t="s">
        <v>788</v>
      </c>
      <c r="D3" s="110" t="s">
        <v>789</v>
      </c>
      <c r="E3" s="111" t="s">
        <v>790</v>
      </c>
      <c r="F3" s="111" t="s">
        <v>797</v>
      </c>
    </row>
    <row r="4" spans="1:6" x14ac:dyDescent="0.8">
      <c r="A4" s="110">
        <v>3</v>
      </c>
      <c r="B4" s="111" t="s">
        <v>800</v>
      </c>
      <c r="C4" s="111" t="s">
        <v>801</v>
      </c>
      <c r="D4" s="110" t="s">
        <v>798</v>
      </c>
      <c r="E4" s="111" t="s">
        <v>799</v>
      </c>
      <c r="F4" s="111" t="s">
        <v>797</v>
      </c>
    </row>
    <row r="5" spans="1:6" x14ac:dyDescent="0.8">
      <c r="A5" s="110">
        <v>4</v>
      </c>
      <c r="B5" s="111" t="s">
        <v>787</v>
      </c>
      <c r="C5" s="111" t="s">
        <v>794</v>
      </c>
      <c r="D5" s="110" t="s">
        <v>792</v>
      </c>
      <c r="E5" s="111" t="s">
        <v>793</v>
      </c>
      <c r="F5" s="111" t="s">
        <v>796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FF"/>
  </sheetPr>
  <dimension ref="A1:U253"/>
  <sheetViews>
    <sheetView showGridLines="0" zoomScale="120" zoomScaleNormal="120" workbookViewId="0">
      <pane xSplit="6" ySplit="4" topLeftCell="G248" activePane="bottomRight" state="frozen"/>
      <selection pane="topRight"/>
      <selection pane="bottomLeft"/>
      <selection pane="bottomRight" activeCell="C254" sqref="C254"/>
    </sheetView>
  </sheetViews>
  <sheetFormatPr defaultColWidth="8.58203125" defaultRowHeight="23" x14ac:dyDescent="0.7"/>
  <cols>
    <col min="1" max="1" width="5.08203125" style="1" customWidth="1"/>
    <col min="2" max="2" width="8.83203125" style="1" customWidth="1"/>
    <col min="3" max="3" width="22.08203125" style="2" customWidth="1"/>
    <col min="4" max="4" width="14.08203125" style="2" customWidth="1"/>
    <col min="5" max="5" width="12.08203125" style="1" customWidth="1"/>
    <col min="6" max="6" width="7.33203125" style="1" customWidth="1"/>
    <col min="7" max="7" width="9.83203125" style="1" customWidth="1"/>
    <col min="8" max="8" width="13.33203125" style="1" customWidth="1"/>
    <col min="9" max="9" width="9.33203125" style="1" customWidth="1"/>
    <col min="10" max="10" width="12" style="1" customWidth="1"/>
    <col min="11" max="11" width="9" style="1" customWidth="1"/>
    <col min="12" max="13" width="10.33203125" style="1" customWidth="1"/>
    <col min="14" max="14" width="14.08203125" style="1" customWidth="1"/>
    <col min="15" max="16" width="9.33203125" style="1" customWidth="1"/>
    <col min="17" max="17" width="73.08203125" style="2" customWidth="1"/>
    <col min="18" max="18" width="10.58203125" style="1" customWidth="1"/>
    <col min="19" max="19" width="8.33203125" style="2" customWidth="1"/>
    <col min="20" max="21" width="8.58203125" style="2"/>
    <col min="22" max="22" width="12.08203125" style="2" customWidth="1"/>
    <col min="23" max="16384" width="8.58203125" style="2"/>
  </cols>
  <sheetData>
    <row r="1" spans="1:21" ht="34.5" x14ac:dyDescent="1.05">
      <c r="E1" s="3"/>
      <c r="F1" s="3" t="s">
        <v>615</v>
      </c>
    </row>
    <row r="2" spans="1:21" ht="21.25" customHeight="1" x14ac:dyDescent="0.8">
      <c r="C2" s="4"/>
      <c r="D2" s="4"/>
      <c r="E2" s="5"/>
      <c r="F2" s="5" t="s">
        <v>0</v>
      </c>
      <c r="G2" s="6"/>
    </row>
    <row r="3" spans="1:21" ht="16.5" customHeight="1" x14ac:dyDescent="0.7">
      <c r="C3" s="7"/>
      <c r="D3" s="7"/>
      <c r="E3" s="8"/>
      <c r="F3" s="9">
        <v>44012</v>
      </c>
      <c r="G3" s="6"/>
      <c r="O3" s="4" t="s">
        <v>616</v>
      </c>
      <c r="P3" s="4"/>
    </row>
    <row r="4" spans="1:21" ht="17.25" customHeight="1" x14ac:dyDescent="0.7">
      <c r="A4" s="10" t="s">
        <v>1</v>
      </c>
      <c r="B4" s="10" t="s">
        <v>6</v>
      </c>
      <c r="C4" s="10" t="s">
        <v>3</v>
      </c>
      <c r="D4" s="10" t="s">
        <v>617</v>
      </c>
      <c r="E4" s="10" t="s">
        <v>618</v>
      </c>
      <c r="F4" s="10" t="s">
        <v>2</v>
      </c>
      <c r="G4" s="10">
        <v>2559</v>
      </c>
      <c r="H4" s="10">
        <v>2560</v>
      </c>
      <c r="I4" s="10">
        <v>2561</v>
      </c>
      <c r="J4" s="10">
        <v>2562</v>
      </c>
      <c r="K4" s="10">
        <v>2563</v>
      </c>
      <c r="L4" s="10">
        <v>2563</v>
      </c>
      <c r="M4" s="10">
        <v>2564</v>
      </c>
      <c r="N4" s="10" t="s">
        <v>619</v>
      </c>
      <c r="O4" s="10" t="s">
        <v>620</v>
      </c>
      <c r="P4" s="10" t="s">
        <v>621</v>
      </c>
      <c r="Q4" s="10" t="s">
        <v>4</v>
      </c>
      <c r="R4" s="10" t="s">
        <v>7</v>
      </c>
      <c r="S4" s="1"/>
      <c r="T4" s="1"/>
      <c r="U4" s="1"/>
    </row>
    <row r="5" spans="1:21" ht="17.25" customHeight="1" x14ac:dyDescent="0.7">
      <c r="A5" s="11">
        <v>1</v>
      </c>
      <c r="B5" s="12">
        <v>42176</v>
      </c>
      <c r="C5" s="13" t="s">
        <v>156</v>
      </c>
      <c r="D5" s="13"/>
      <c r="E5" s="11" t="s">
        <v>622</v>
      </c>
      <c r="F5" s="11">
        <v>1</v>
      </c>
      <c r="G5" s="14">
        <v>42542</v>
      </c>
      <c r="H5" s="14">
        <v>42943</v>
      </c>
      <c r="I5" s="14">
        <v>43293</v>
      </c>
      <c r="J5" s="14">
        <v>43634</v>
      </c>
      <c r="K5" s="18"/>
      <c r="L5" s="14">
        <v>44008</v>
      </c>
      <c r="M5" s="14"/>
      <c r="N5" s="14"/>
      <c r="O5" s="14">
        <f>+B5+1825+365</f>
        <v>44366</v>
      </c>
      <c r="P5" s="14"/>
      <c r="Q5" s="13"/>
      <c r="R5" s="20"/>
    </row>
    <row r="6" spans="1:21" ht="17.25" customHeight="1" x14ac:dyDescent="0.7">
      <c r="A6" s="11">
        <v>2</v>
      </c>
      <c r="B6" s="12">
        <v>42176</v>
      </c>
      <c r="C6" s="13" t="s">
        <v>374</v>
      </c>
      <c r="D6" s="13"/>
      <c r="E6" s="11" t="s">
        <v>376</v>
      </c>
      <c r="F6" s="11">
        <v>1</v>
      </c>
      <c r="G6" s="14">
        <v>42544</v>
      </c>
      <c r="H6" s="14">
        <v>42940</v>
      </c>
      <c r="I6" s="14">
        <v>43262</v>
      </c>
      <c r="J6" s="14">
        <v>43633</v>
      </c>
      <c r="K6" s="19" t="s">
        <v>375</v>
      </c>
      <c r="L6" s="14"/>
      <c r="M6" s="14"/>
      <c r="N6" s="14"/>
      <c r="O6" s="15" t="s">
        <v>375</v>
      </c>
      <c r="P6" s="15"/>
      <c r="Q6" s="21"/>
      <c r="R6" s="22"/>
    </row>
    <row r="7" spans="1:21" ht="17.25" customHeight="1" x14ac:dyDescent="0.7">
      <c r="A7" s="11">
        <v>3</v>
      </c>
      <c r="B7" s="12">
        <v>42176</v>
      </c>
      <c r="C7" s="13" t="s">
        <v>377</v>
      </c>
      <c r="D7" s="13"/>
      <c r="E7" s="11" t="s">
        <v>378</v>
      </c>
      <c r="F7" s="11">
        <v>1</v>
      </c>
      <c r="G7" s="14">
        <v>42540</v>
      </c>
      <c r="H7" s="15" t="s">
        <v>623</v>
      </c>
      <c r="I7" s="15" t="s">
        <v>623</v>
      </c>
      <c r="J7" s="15" t="s">
        <v>623</v>
      </c>
      <c r="K7" s="18" t="s">
        <v>620</v>
      </c>
      <c r="L7" s="15"/>
      <c r="M7" s="15"/>
      <c r="N7" s="15"/>
      <c r="O7" s="15" t="s">
        <v>623</v>
      </c>
      <c r="P7" s="15"/>
      <c r="Q7" s="13" t="s">
        <v>624</v>
      </c>
      <c r="R7" s="20"/>
    </row>
    <row r="8" spans="1:21" ht="17.25" customHeight="1" x14ac:dyDescent="0.7">
      <c r="A8" s="11">
        <v>4</v>
      </c>
      <c r="B8" s="12">
        <v>42176</v>
      </c>
      <c r="C8" s="13" t="s">
        <v>160</v>
      </c>
      <c r="D8" s="13"/>
      <c r="E8" s="11" t="s">
        <v>161</v>
      </c>
      <c r="F8" s="11">
        <v>1</v>
      </c>
      <c r="G8" s="14">
        <v>42562</v>
      </c>
      <c r="H8" s="14">
        <v>43020</v>
      </c>
      <c r="I8" s="14">
        <v>43276</v>
      </c>
      <c r="J8" s="14"/>
      <c r="K8" s="18" t="s">
        <v>620</v>
      </c>
      <c r="L8" s="14"/>
      <c r="M8" s="14"/>
      <c r="N8" s="14"/>
      <c r="O8" s="14">
        <f>+B8+1825</f>
        <v>44001</v>
      </c>
      <c r="P8" s="14"/>
      <c r="Q8" s="13" t="s">
        <v>625</v>
      </c>
      <c r="R8" s="20">
        <v>84000</v>
      </c>
    </row>
    <row r="9" spans="1:21" ht="17.25" customHeight="1" x14ac:dyDescent="0.7">
      <c r="A9" s="11">
        <v>5</v>
      </c>
      <c r="B9" s="12">
        <v>42176</v>
      </c>
      <c r="C9" s="13" t="s">
        <v>397</v>
      </c>
      <c r="D9" s="13"/>
      <c r="E9" s="11"/>
      <c r="F9" s="11">
        <v>1</v>
      </c>
      <c r="G9" s="14">
        <v>42542</v>
      </c>
      <c r="H9" s="15" t="s">
        <v>623</v>
      </c>
      <c r="I9" s="15" t="s">
        <v>623</v>
      </c>
      <c r="J9" s="15" t="s">
        <v>623</v>
      </c>
      <c r="K9" s="18" t="s">
        <v>620</v>
      </c>
      <c r="L9" s="15"/>
      <c r="M9" s="15"/>
      <c r="N9" s="15"/>
      <c r="O9" s="15" t="s">
        <v>623</v>
      </c>
      <c r="P9" s="15"/>
      <c r="Q9" s="13" t="s">
        <v>626</v>
      </c>
      <c r="R9" s="20">
        <v>102330</v>
      </c>
    </row>
    <row r="10" spans="1:21" ht="17.25" customHeight="1" x14ac:dyDescent="0.7">
      <c r="A10" s="11">
        <v>6</v>
      </c>
      <c r="B10" s="12">
        <v>42176</v>
      </c>
      <c r="C10" s="13" t="s">
        <v>163</v>
      </c>
      <c r="D10" s="13"/>
      <c r="E10" s="11"/>
      <c r="F10" s="11">
        <v>1</v>
      </c>
      <c r="G10" s="14">
        <v>42539</v>
      </c>
      <c r="H10" s="14">
        <v>42943</v>
      </c>
      <c r="I10" s="14">
        <v>43259</v>
      </c>
      <c r="J10" s="14">
        <v>43643</v>
      </c>
      <c r="K10" s="18"/>
      <c r="L10" s="14">
        <v>44005</v>
      </c>
      <c r="M10" s="14"/>
      <c r="N10" s="14"/>
      <c r="O10" s="14">
        <f>+B10+1825+365</f>
        <v>44366</v>
      </c>
      <c r="P10" s="14"/>
      <c r="Q10" s="13"/>
      <c r="R10" s="20"/>
    </row>
    <row r="11" spans="1:21" ht="17.25" customHeight="1" x14ac:dyDescent="0.7">
      <c r="A11" s="11">
        <v>7</v>
      </c>
      <c r="B11" s="12">
        <v>42176</v>
      </c>
      <c r="C11" s="13" t="s">
        <v>398</v>
      </c>
      <c r="D11" s="13" t="s">
        <v>399</v>
      </c>
      <c r="E11" s="11" t="s">
        <v>400</v>
      </c>
      <c r="F11" s="11">
        <v>1</v>
      </c>
      <c r="G11" s="14">
        <v>42538</v>
      </c>
      <c r="H11" s="14">
        <v>42889</v>
      </c>
      <c r="I11" s="14">
        <v>43257</v>
      </c>
      <c r="J11" s="15"/>
      <c r="K11" s="18" t="s">
        <v>620</v>
      </c>
      <c r="L11" s="14"/>
      <c r="M11" s="14"/>
      <c r="N11" s="14"/>
      <c r="O11" s="15" t="s">
        <v>623</v>
      </c>
      <c r="P11" s="15"/>
      <c r="Q11" s="13"/>
      <c r="R11" s="20"/>
    </row>
    <row r="12" spans="1:21" ht="17.25" customHeight="1" x14ac:dyDescent="0.7">
      <c r="A12" s="11">
        <v>8</v>
      </c>
      <c r="B12" s="12">
        <v>42176</v>
      </c>
      <c r="C12" s="13" t="s">
        <v>165</v>
      </c>
      <c r="D12" s="13" t="s">
        <v>166</v>
      </c>
      <c r="E12" s="16" t="s">
        <v>167</v>
      </c>
      <c r="F12" s="11">
        <v>1</v>
      </c>
      <c r="G12" s="14">
        <v>42542</v>
      </c>
      <c r="H12" s="14">
        <v>42940</v>
      </c>
      <c r="I12" s="14">
        <v>43258</v>
      </c>
      <c r="J12" s="14">
        <v>43630</v>
      </c>
      <c r="K12" s="18"/>
      <c r="L12" s="14">
        <v>44004</v>
      </c>
      <c r="M12" s="14"/>
      <c r="N12" s="14"/>
      <c r="O12" s="14">
        <f>+B12+1825+365</f>
        <v>44366</v>
      </c>
      <c r="P12" s="14"/>
      <c r="Q12" s="13"/>
      <c r="R12" s="20"/>
    </row>
    <row r="13" spans="1:21" ht="17.25" customHeight="1" x14ac:dyDescent="0.7">
      <c r="A13" s="11">
        <v>9</v>
      </c>
      <c r="B13" s="12">
        <v>42176</v>
      </c>
      <c r="C13" s="13" t="s">
        <v>169</v>
      </c>
      <c r="D13" s="13"/>
      <c r="E13" s="11" t="s">
        <v>170</v>
      </c>
      <c r="F13" s="11">
        <v>1</v>
      </c>
      <c r="G13" s="14">
        <v>42540</v>
      </c>
      <c r="H13" s="14">
        <v>43319</v>
      </c>
      <c r="I13" s="14">
        <v>43279</v>
      </c>
      <c r="J13" s="14">
        <v>43634</v>
      </c>
      <c r="K13" s="18"/>
      <c r="L13" s="14">
        <v>44003</v>
      </c>
      <c r="M13" s="14"/>
      <c r="N13" s="14"/>
      <c r="O13" s="14">
        <f>+B13+1825+365</f>
        <v>44366</v>
      </c>
      <c r="P13" s="14"/>
      <c r="Q13" s="13" t="s">
        <v>627</v>
      </c>
      <c r="R13" s="20">
        <v>10230</v>
      </c>
    </row>
    <row r="14" spans="1:21" ht="17.25" customHeight="1" x14ac:dyDescent="0.7">
      <c r="A14" s="11">
        <v>10</v>
      </c>
      <c r="B14" s="12">
        <v>42176</v>
      </c>
      <c r="C14" s="13" t="s">
        <v>172</v>
      </c>
      <c r="D14" s="13"/>
      <c r="E14" s="11" t="s">
        <v>173</v>
      </c>
      <c r="F14" s="11">
        <v>1</v>
      </c>
      <c r="G14" s="14">
        <v>42568</v>
      </c>
      <c r="H14" s="15" t="s">
        <v>623</v>
      </c>
      <c r="I14" s="15" t="s">
        <v>623</v>
      </c>
      <c r="J14" s="15" t="s">
        <v>623</v>
      </c>
      <c r="K14" s="18" t="s">
        <v>620</v>
      </c>
      <c r="L14" s="15"/>
      <c r="M14" s="15"/>
      <c r="N14" s="15"/>
      <c r="O14" s="15" t="s">
        <v>623</v>
      </c>
      <c r="P14" s="15"/>
      <c r="Q14" s="13"/>
      <c r="R14" s="20"/>
    </row>
    <row r="15" spans="1:21" ht="17.25" customHeight="1" x14ac:dyDescent="0.7">
      <c r="A15" s="11">
        <v>11</v>
      </c>
      <c r="B15" s="12">
        <v>42176</v>
      </c>
      <c r="C15" s="13" t="s">
        <v>175</v>
      </c>
      <c r="D15" s="13" t="s">
        <v>176</v>
      </c>
      <c r="E15" s="11" t="s">
        <v>177</v>
      </c>
      <c r="F15" s="11">
        <v>1</v>
      </c>
      <c r="G15" s="14">
        <v>42544</v>
      </c>
      <c r="H15" s="14">
        <v>42940</v>
      </c>
      <c r="I15" s="14">
        <v>43262</v>
      </c>
      <c r="J15" s="14">
        <v>43633</v>
      </c>
      <c r="K15" s="18"/>
      <c r="L15" s="14">
        <v>44004</v>
      </c>
      <c r="M15" s="14"/>
      <c r="N15" s="14"/>
      <c r="O15" s="14">
        <f>+B15+1825+365</f>
        <v>44366</v>
      </c>
      <c r="P15" s="14"/>
      <c r="Q15" s="13"/>
      <c r="R15" s="20"/>
    </row>
    <row r="16" spans="1:21" ht="17.25" customHeight="1" x14ac:dyDescent="0.7">
      <c r="A16" s="11">
        <v>12</v>
      </c>
      <c r="B16" s="12">
        <v>42176</v>
      </c>
      <c r="C16" s="13" t="s">
        <v>401</v>
      </c>
      <c r="D16" s="13"/>
      <c r="E16" s="11" t="s">
        <v>402</v>
      </c>
      <c r="F16" s="11">
        <v>1</v>
      </c>
      <c r="G16" s="14">
        <v>42565</v>
      </c>
      <c r="H16" s="15" t="s">
        <v>623</v>
      </c>
      <c r="I16" s="15" t="s">
        <v>623</v>
      </c>
      <c r="J16" s="15" t="s">
        <v>623</v>
      </c>
      <c r="K16" s="18" t="s">
        <v>620</v>
      </c>
      <c r="L16" s="15"/>
      <c r="M16" s="15"/>
      <c r="N16" s="15"/>
      <c r="O16" s="15" t="s">
        <v>623</v>
      </c>
      <c r="P16" s="15"/>
      <c r="Q16" s="13"/>
      <c r="R16" s="20"/>
    </row>
    <row r="17" spans="1:18" ht="17.25" customHeight="1" x14ac:dyDescent="0.7">
      <c r="A17" s="11">
        <v>13</v>
      </c>
      <c r="B17" s="12">
        <v>42176</v>
      </c>
      <c r="C17" s="13" t="s">
        <v>179</v>
      </c>
      <c r="D17" s="13" t="s">
        <v>180</v>
      </c>
      <c r="E17" s="11" t="s">
        <v>181</v>
      </c>
      <c r="F17" s="11">
        <v>1</v>
      </c>
      <c r="G17" s="14">
        <v>42546</v>
      </c>
      <c r="H17" s="14">
        <v>42977</v>
      </c>
      <c r="I17" s="14">
        <v>43266</v>
      </c>
      <c r="J17" s="14">
        <v>43636</v>
      </c>
      <c r="K17" s="18"/>
      <c r="L17" s="14">
        <v>44014</v>
      </c>
      <c r="M17" s="14"/>
      <c r="N17" s="14"/>
      <c r="O17" s="14">
        <f>+B17+1825+365+365</f>
        <v>44731</v>
      </c>
      <c r="P17" s="14"/>
      <c r="Q17" s="13"/>
      <c r="R17" s="20"/>
    </row>
    <row r="18" spans="1:18" ht="17.25" customHeight="1" x14ac:dyDescent="0.7">
      <c r="A18" s="11">
        <v>14</v>
      </c>
      <c r="B18" s="12">
        <v>42176</v>
      </c>
      <c r="C18" s="13" t="s">
        <v>183</v>
      </c>
      <c r="D18" s="13" t="s">
        <v>184</v>
      </c>
      <c r="E18" s="11" t="s">
        <v>185</v>
      </c>
      <c r="F18" s="11">
        <v>1</v>
      </c>
      <c r="G18" s="15" t="s">
        <v>623</v>
      </c>
      <c r="H18" s="15" t="s">
        <v>623</v>
      </c>
      <c r="I18" s="14">
        <v>43381</v>
      </c>
      <c r="J18" s="14"/>
      <c r="K18" s="18"/>
      <c r="L18" s="14">
        <v>43914</v>
      </c>
      <c r="M18" s="14"/>
      <c r="N18" s="14"/>
      <c r="O18" s="14">
        <f>+B18+1825+365</f>
        <v>44366</v>
      </c>
      <c r="P18" s="14"/>
      <c r="Q18" s="13"/>
      <c r="R18" s="20"/>
    </row>
    <row r="19" spans="1:18" ht="17.25" customHeight="1" x14ac:dyDescent="0.7">
      <c r="A19" s="11">
        <v>15</v>
      </c>
      <c r="B19" s="12">
        <v>42176</v>
      </c>
      <c r="C19" s="13" t="s">
        <v>187</v>
      </c>
      <c r="D19" s="13"/>
      <c r="E19" s="11" t="s">
        <v>188</v>
      </c>
      <c r="F19" s="11">
        <v>1</v>
      </c>
      <c r="G19" s="14">
        <v>42565</v>
      </c>
      <c r="H19" s="14">
        <v>43016</v>
      </c>
      <c r="I19" s="14">
        <v>43149</v>
      </c>
      <c r="J19" s="14"/>
      <c r="K19" s="18"/>
      <c r="L19" s="14">
        <v>44014</v>
      </c>
      <c r="M19" s="14"/>
      <c r="N19" s="14"/>
      <c r="O19" s="14">
        <f>+B19+1825+365</f>
        <v>44366</v>
      </c>
      <c r="P19" s="14"/>
      <c r="Q19" s="13"/>
      <c r="R19" s="20"/>
    </row>
    <row r="20" spans="1:18" ht="17.25" customHeight="1" x14ac:dyDescent="0.7">
      <c r="A20" s="11">
        <v>16</v>
      </c>
      <c r="B20" s="12">
        <v>42176</v>
      </c>
      <c r="C20" s="13" t="s">
        <v>403</v>
      </c>
      <c r="D20" s="13"/>
      <c r="E20" s="11" t="s">
        <v>404</v>
      </c>
      <c r="F20" s="11">
        <v>1</v>
      </c>
      <c r="G20" s="15" t="s">
        <v>623</v>
      </c>
      <c r="H20" s="15" t="s">
        <v>623</v>
      </c>
      <c r="I20" s="15" t="s">
        <v>623</v>
      </c>
      <c r="J20" s="15" t="s">
        <v>623</v>
      </c>
      <c r="K20" s="18" t="s">
        <v>620</v>
      </c>
      <c r="L20" s="15"/>
      <c r="M20" s="15"/>
      <c r="N20" s="15"/>
      <c r="O20" s="15" t="s">
        <v>623</v>
      </c>
      <c r="P20" s="15"/>
      <c r="Q20" s="13"/>
      <c r="R20" s="20"/>
    </row>
    <row r="21" spans="1:18" ht="17.25" customHeight="1" x14ac:dyDescent="0.7">
      <c r="A21" s="11">
        <v>17</v>
      </c>
      <c r="B21" s="12">
        <v>42176</v>
      </c>
      <c r="C21" s="13" t="s">
        <v>628</v>
      </c>
      <c r="D21" s="13" t="s">
        <v>191</v>
      </c>
      <c r="E21" s="11"/>
      <c r="F21" s="11">
        <v>1</v>
      </c>
      <c r="G21" s="14">
        <v>42562</v>
      </c>
      <c r="H21" s="14">
        <v>42946</v>
      </c>
      <c r="I21" s="14">
        <v>43266</v>
      </c>
      <c r="J21" s="14">
        <v>43633</v>
      </c>
      <c r="K21" s="18"/>
      <c r="L21" s="14">
        <v>44015</v>
      </c>
      <c r="M21" s="14"/>
      <c r="N21" s="14"/>
      <c r="O21" s="14">
        <f>+B21+1825+365</f>
        <v>44366</v>
      </c>
      <c r="P21" s="14"/>
      <c r="Q21" s="13"/>
      <c r="R21" s="20"/>
    </row>
    <row r="22" spans="1:18" ht="17.25" customHeight="1" x14ac:dyDescent="0.7">
      <c r="A22" s="11">
        <v>18</v>
      </c>
      <c r="B22" s="12">
        <v>42176</v>
      </c>
      <c r="C22" s="13" t="s">
        <v>194</v>
      </c>
      <c r="D22" s="13"/>
      <c r="E22" s="11" t="s">
        <v>195</v>
      </c>
      <c r="F22" s="11">
        <v>1</v>
      </c>
      <c r="G22" s="14">
        <v>42568</v>
      </c>
      <c r="H22" s="14">
        <v>42940</v>
      </c>
      <c r="I22" s="14">
        <v>43259</v>
      </c>
      <c r="J22" s="14">
        <v>43643</v>
      </c>
      <c r="K22" s="18"/>
      <c r="L22" s="14">
        <v>44004</v>
      </c>
      <c r="M22" s="14"/>
      <c r="N22" s="14"/>
      <c r="O22" s="14">
        <f>+B22+1825+365</f>
        <v>44366</v>
      </c>
      <c r="P22" s="14"/>
      <c r="Q22" s="13"/>
      <c r="R22" s="20"/>
    </row>
    <row r="23" spans="1:18" ht="17.25" customHeight="1" x14ac:dyDescent="0.7">
      <c r="A23" s="11">
        <v>19</v>
      </c>
      <c r="B23" s="12">
        <v>42176</v>
      </c>
      <c r="C23" s="13" t="s">
        <v>629</v>
      </c>
      <c r="D23" s="13" t="s">
        <v>198</v>
      </c>
      <c r="E23" s="11" t="s">
        <v>199</v>
      </c>
      <c r="F23" s="11">
        <v>1</v>
      </c>
      <c r="G23" s="14">
        <v>42560</v>
      </c>
      <c r="H23" s="14">
        <v>42942</v>
      </c>
      <c r="I23" s="14">
        <v>43259</v>
      </c>
      <c r="J23" s="14">
        <v>43634</v>
      </c>
      <c r="K23" s="18"/>
      <c r="L23" s="14">
        <v>44004</v>
      </c>
      <c r="M23" s="14"/>
      <c r="N23" s="14"/>
      <c r="O23" s="14">
        <f>+B23+1825+365</f>
        <v>44366</v>
      </c>
      <c r="P23" s="14"/>
      <c r="Q23" s="13"/>
      <c r="R23" s="20"/>
    </row>
    <row r="24" spans="1:18" ht="17.25" customHeight="1" x14ac:dyDescent="0.7">
      <c r="A24" s="11">
        <v>20</v>
      </c>
      <c r="B24" s="12">
        <v>42176</v>
      </c>
      <c r="C24" s="13" t="s">
        <v>201</v>
      </c>
      <c r="D24" s="13"/>
      <c r="E24" s="11" t="s">
        <v>202</v>
      </c>
      <c r="F24" s="11">
        <v>1</v>
      </c>
      <c r="G24" s="15" t="s">
        <v>623</v>
      </c>
      <c r="H24" s="15" t="s">
        <v>623</v>
      </c>
      <c r="I24" s="15" t="s">
        <v>623</v>
      </c>
      <c r="J24" s="15" t="s">
        <v>623</v>
      </c>
      <c r="K24" s="18" t="s">
        <v>620</v>
      </c>
      <c r="L24" s="14">
        <v>44112</v>
      </c>
      <c r="M24" s="15"/>
      <c r="N24" s="15"/>
      <c r="O24" s="14">
        <f>+B24+1825+365</f>
        <v>44366</v>
      </c>
      <c r="P24" s="14"/>
      <c r="Q24" s="13" t="s">
        <v>630</v>
      </c>
      <c r="R24" s="20">
        <v>10160</v>
      </c>
    </row>
    <row r="25" spans="1:18" ht="17.25" customHeight="1" x14ac:dyDescent="0.7">
      <c r="A25" s="11">
        <v>21</v>
      </c>
      <c r="B25" s="12">
        <v>42176</v>
      </c>
      <c r="C25" s="13" t="s">
        <v>631</v>
      </c>
      <c r="D25" s="13" t="s">
        <v>205</v>
      </c>
      <c r="E25" s="11" t="s">
        <v>206</v>
      </c>
      <c r="F25" s="11">
        <v>1</v>
      </c>
      <c r="G25" s="14">
        <v>42561</v>
      </c>
      <c r="H25" s="14">
        <v>43025</v>
      </c>
      <c r="I25" s="14">
        <v>43304</v>
      </c>
      <c r="J25" s="14"/>
      <c r="K25" s="18" t="s">
        <v>620</v>
      </c>
      <c r="L25" s="14">
        <v>44038</v>
      </c>
      <c r="M25" s="14">
        <v>44038</v>
      </c>
      <c r="N25" s="14"/>
      <c r="O25" s="14">
        <f>+B25+1095+365+365+365</f>
        <v>44366</v>
      </c>
      <c r="P25" s="14"/>
      <c r="Q25" s="13"/>
      <c r="R25" s="20"/>
    </row>
    <row r="26" spans="1:18" ht="17.25" customHeight="1" x14ac:dyDescent="0.7">
      <c r="A26" s="11">
        <v>22</v>
      </c>
      <c r="B26" s="12">
        <v>42176</v>
      </c>
      <c r="C26" s="13" t="s">
        <v>349</v>
      </c>
      <c r="D26" s="13"/>
      <c r="E26" s="11"/>
      <c r="F26" s="11">
        <v>1</v>
      </c>
      <c r="G26" s="14">
        <v>42541</v>
      </c>
      <c r="H26" s="15" t="s">
        <v>623</v>
      </c>
      <c r="I26" s="15" t="s">
        <v>623</v>
      </c>
      <c r="J26" s="15" t="s">
        <v>623</v>
      </c>
      <c r="K26" s="18" t="s">
        <v>620</v>
      </c>
      <c r="L26" s="15">
        <v>44038</v>
      </c>
      <c r="M26" s="15"/>
      <c r="N26" s="15"/>
      <c r="O26" s="14">
        <f>+B26+1095+365+365+365</f>
        <v>44366</v>
      </c>
      <c r="P26" s="14"/>
      <c r="Q26" s="13"/>
      <c r="R26" s="20"/>
    </row>
    <row r="27" spans="1:18" ht="17.25" customHeight="1" x14ac:dyDescent="0.7">
      <c r="A27" s="11">
        <v>23</v>
      </c>
      <c r="B27" s="12">
        <v>42183</v>
      </c>
      <c r="C27" s="13" t="s">
        <v>405</v>
      </c>
      <c r="D27" s="13"/>
      <c r="E27" s="11"/>
      <c r="F27" s="11">
        <v>1</v>
      </c>
      <c r="G27" s="15" t="s">
        <v>623</v>
      </c>
      <c r="H27" s="15" t="s">
        <v>623</v>
      </c>
      <c r="I27" s="15" t="s">
        <v>623</v>
      </c>
      <c r="J27" s="15"/>
      <c r="K27" s="18" t="s">
        <v>620</v>
      </c>
      <c r="L27" s="15"/>
      <c r="M27" s="15"/>
      <c r="N27" s="15"/>
      <c r="O27" s="15" t="s">
        <v>623</v>
      </c>
      <c r="P27" s="15"/>
      <c r="Q27" s="13"/>
      <c r="R27" s="20"/>
    </row>
    <row r="28" spans="1:18" ht="17.25" customHeight="1" x14ac:dyDescent="0.7">
      <c r="A28" s="11">
        <v>24</v>
      </c>
      <c r="B28" s="12">
        <v>42185</v>
      </c>
      <c r="C28" s="13" t="s">
        <v>208</v>
      </c>
      <c r="D28" s="13"/>
      <c r="E28" s="11" t="s">
        <v>210</v>
      </c>
      <c r="F28" s="11">
        <v>1</v>
      </c>
      <c r="G28" s="15" t="s">
        <v>623</v>
      </c>
      <c r="H28" s="15" t="s">
        <v>623</v>
      </c>
      <c r="I28" s="14">
        <v>43410</v>
      </c>
      <c r="J28" s="14">
        <v>43634</v>
      </c>
      <c r="K28" s="18"/>
      <c r="L28" s="14">
        <v>44004</v>
      </c>
      <c r="M28" s="14"/>
      <c r="N28" s="14"/>
      <c r="O28" s="14">
        <f>+B28+1825+365</f>
        <v>44375</v>
      </c>
      <c r="P28" s="14"/>
      <c r="Q28" s="13"/>
      <c r="R28" s="20"/>
    </row>
    <row r="29" spans="1:18" ht="17.25" customHeight="1" x14ac:dyDescent="0.7">
      <c r="A29" s="11">
        <v>25</v>
      </c>
      <c r="B29" s="12">
        <v>42185</v>
      </c>
      <c r="C29" s="13" t="s">
        <v>632</v>
      </c>
      <c r="D29" s="13" t="s">
        <v>198</v>
      </c>
      <c r="E29" s="11"/>
      <c r="F29" s="11">
        <v>1</v>
      </c>
      <c r="G29" s="14">
        <v>42565</v>
      </c>
      <c r="H29" s="15" t="s">
        <v>623</v>
      </c>
      <c r="I29" s="15" t="s">
        <v>623</v>
      </c>
      <c r="J29" s="15" t="s">
        <v>623</v>
      </c>
      <c r="K29" s="18" t="s">
        <v>620</v>
      </c>
      <c r="L29" s="14">
        <v>44038</v>
      </c>
      <c r="M29" s="15"/>
      <c r="N29" s="15"/>
      <c r="O29" s="14">
        <f>+B29+1095+365+365+355</f>
        <v>44365</v>
      </c>
      <c r="P29" s="14"/>
      <c r="Q29" s="13"/>
      <c r="R29" s="20"/>
    </row>
    <row r="30" spans="1:18" ht="17.25" customHeight="1" x14ac:dyDescent="0.7">
      <c r="A30" s="11">
        <v>26</v>
      </c>
      <c r="B30" s="12">
        <v>42190</v>
      </c>
      <c r="C30" s="13" t="s">
        <v>406</v>
      </c>
      <c r="D30" s="13"/>
      <c r="E30" s="11"/>
      <c r="F30" s="11">
        <v>1</v>
      </c>
      <c r="G30" s="15" t="s">
        <v>623</v>
      </c>
      <c r="H30" s="15" t="s">
        <v>623</v>
      </c>
      <c r="I30" s="15" t="s">
        <v>623</v>
      </c>
      <c r="J30" s="15" t="s">
        <v>623</v>
      </c>
      <c r="K30" s="18" t="s">
        <v>620</v>
      </c>
      <c r="L30" s="15"/>
      <c r="M30" s="15"/>
      <c r="N30" s="15"/>
      <c r="O30" s="15" t="s">
        <v>623</v>
      </c>
      <c r="P30" s="15"/>
      <c r="Q30" s="13"/>
      <c r="R30" s="20"/>
    </row>
    <row r="31" spans="1:18" ht="17.25" customHeight="1" x14ac:dyDescent="0.7">
      <c r="A31" s="11">
        <v>27</v>
      </c>
      <c r="B31" s="12">
        <v>42190</v>
      </c>
      <c r="C31" s="13" t="s">
        <v>223</v>
      </c>
      <c r="D31" s="13"/>
      <c r="E31" s="11" t="s">
        <v>224</v>
      </c>
      <c r="F31" s="11">
        <v>1</v>
      </c>
      <c r="G31" s="14">
        <v>42620</v>
      </c>
      <c r="H31" s="14">
        <v>43024</v>
      </c>
      <c r="I31" s="14">
        <v>43313</v>
      </c>
      <c r="J31" s="14">
        <v>43650</v>
      </c>
      <c r="K31" s="18"/>
      <c r="L31" s="14">
        <v>44034</v>
      </c>
      <c r="M31" s="14"/>
      <c r="N31" s="14"/>
      <c r="O31" s="14">
        <f>+B31+1825+365</f>
        <v>44380</v>
      </c>
      <c r="P31" s="14"/>
      <c r="Q31" s="13"/>
      <c r="R31" s="20"/>
    </row>
    <row r="32" spans="1:18" ht="17.25" customHeight="1" x14ac:dyDescent="0.7">
      <c r="A32" s="11">
        <v>28</v>
      </c>
      <c r="B32" s="12">
        <v>42190</v>
      </c>
      <c r="C32" s="13" t="s">
        <v>225</v>
      </c>
      <c r="D32" s="13"/>
      <c r="E32" s="11"/>
      <c r="F32" s="11">
        <v>1</v>
      </c>
      <c r="G32" s="14">
        <v>42578</v>
      </c>
      <c r="H32" s="14">
        <v>43027</v>
      </c>
      <c r="I32" s="14">
        <v>43321</v>
      </c>
      <c r="J32" s="14">
        <v>43656</v>
      </c>
      <c r="K32" s="18"/>
      <c r="L32" s="14">
        <v>44035</v>
      </c>
      <c r="M32" s="14"/>
      <c r="N32" s="14"/>
      <c r="O32" s="14">
        <f>+B32+1825+365</f>
        <v>44380</v>
      </c>
      <c r="P32" s="14"/>
      <c r="Q32" s="13"/>
      <c r="R32" s="20"/>
    </row>
    <row r="33" spans="1:18" ht="17.25" customHeight="1" x14ac:dyDescent="0.7">
      <c r="A33" s="11">
        <v>29</v>
      </c>
      <c r="B33" s="12">
        <v>42190</v>
      </c>
      <c r="C33" s="13" t="s">
        <v>407</v>
      </c>
      <c r="D33" s="13"/>
      <c r="E33" s="11" t="s">
        <v>408</v>
      </c>
      <c r="F33" s="11">
        <v>1</v>
      </c>
      <c r="G33" s="14">
        <v>42595</v>
      </c>
      <c r="H33" s="15" t="s">
        <v>623</v>
      </c>
      <c r="I33" s="15" t="s">
        <v>623</v>
      </c>
      <c r="J33" s="15" t="s">
        <v>623</v>
      </c>
      <c r="K33" s="18" t="s">
        <v>620</v>
      </c>
      <c r="L33" s="15"/>
      <c r="M33" s="15"/>
      <c r="N33" s="15"/>
      <c r="O33" s="15" t="s">
        <v>623</v>
      </c>
      <c r="P33" s="15"/>
      <c r="Q33" s="13" t="s">
        <v>633</v>
      </c>
      <c r="R33" s="20">
        <v>11000</v>
      </c>
    </row>
    <row r="34" spans="1:18" ht="17.25" customHeight="1" x14ac:dyDescent="0.7">
      <c r="A34" s="11">
        <v>30</v>
      </c>
      <c r="B34" s="12">
        <v>42190</v>
      </c>
      <c r="C34" s="13" t="s">
        <v>226</v>
      </c>
      <c r="D34" s="13"/>
      <c r="E34" s="11" t="s">
        <v>227</v>
      </c>
      <c r="F34" s="11">
        <v>1</v>
      </c>
      <c r="G34" s="14">
        <v>42564</v>
      </c>
      <c r="H34" s="14">
        <v>42999</v>
      </c>
      <c r="I34" s="14">
        <v>43294</v>
      </c>
      <c r="J34" s="14">
        <v>43652</v>
      </c>
      <c r="K34" s="18"/>
      <c r="L34" s="14">
        <v>44034</v>
      </c>
      <c r="M34" s="14"/>
      <c r="N34" s="14"/>
      <c r="O34" s="14">
        <f>+B34+1825+365</f>
        <v>44380</v>
      </c>
      <c r="P34" s="14"/>
      <c r="Q34" s="13"/>
      <c r="R34" s="20"/>
    </row>
    <row r="35" spans="1:18" ht="17.25" customHeight="1" x14ac:dyDescent="0.7">
      <c r="A35" s="11">
        <v>31</v>
      </c>
      <c r="B35" s="12">
        <v>42190</v>
      </c>
      <c r="C35" s="13" t="s">
        <v>409</v>
      </c>
      <c r="D35" s="13"/>
      <c r="E35" s="11"/>
      <c r="F35" s="11">
        <v>1</v>
      </c>
      <c r="G35" s="14">
        <v>42573</v>
      </c>
      <c r="H35" s="15" t="s">
        <v>623</v>
      </c>
      <c r="I35" s="15" t="s">
        <v>623</v>
      </c>
      <c r="J35" s="15" t="s">
        <v>623</v>
      </c>
      <c r="K35" s="18" t="s">
        <v>620</v>
      </c>
      <c r="L35" s="15"/>
      <c r="M35" s="15"/>
      <c r="N35" s="15"/>
      <c r="O35" s="15" t="s">
        <v>623</v>
      </c>
      <c r="P35" s="15"/>
      <c r="Q35" s="13"/>
      <c r="R35" s="20"/>
    </row>
    <row r="36" spans="1:18" ht="17.25" customHeight="1" x14ac:dyDescent="0.7">
      <c r="A36" s="11">
        <v>32</v>
      </c>
      <c r="B36" s="12">
        <v>42190</v>
      </c>
      <c r="C36" s="13" t="s">
        <v>410</v>
      </c>
      <c r="D36" s="13"/>
      <c r="E36" s="11"/>
      <c r="F36" s="11">
        <v>1</v>
      </c>
      <c r="G36" s="14">
        <v>42580</v>
      </c>
      <c r="H36" s="15" t="s">
        <v>623</v>
      </c>
      <c r="I36" s="14">
        <v>43294</v>
      </c>
      <c r="J36" s="14"/>
      <c r="K36" s="18"/>
      <c r="L36" s="14"/>
      <c r="M36" s="14"/>
      <c r="N36" s="14"/>
      <c r="O36" s="14">
        <f>+B36+1825</f>
        <v>44015</v>
      </c>
      <c r="P36" s="14"/>
      <c r="Q36" s="13" t="s">
        <v>634</v>
      </c>
      <c r="R36" s="20"/>
    </row>
    <row r="37" spans="1:18" ht="17.25" customHeight="1" x14ac:dyDescent="0.7">
      <c r="A37" s="11">
        <v>33</v>
      </c>
      <c r="B37" s="12">
        <v>42190</v>
      </c>
      <c r="C37" s="13" t="s">
        <v>635</v>
      </c>
      <c r="D37" s="13" t="s">
        <v>411</v>
      </c>
      <c r="E37" s="11" t="s">
        <v>412</v>
      </c>
      <c r="F37" s="11">
        <v>1</v>
      </c>
      <c r="G37" s="14">
        <v>42625</v>
      </c>
      <c r="H37" s="15" t="s">
        <v>623</v>
      </c>
      <c r="I37" s="15" t="s">
        <v>623</v>
      </c>
      <c r="J37" s="15" t="s">
        <v>623</v>
      </c>
      <c r="K37" s="18" t="s">
        <v>620</v>
      </c>
      <c r="L37" s="15"/>
      <c r="M37" s="15"/>
      <c r="N37" s="15"/>
      <c r="O37" s="15" t="s">
        <v>623</v>
      </c>
      <c r="P37" s="15"/>
      <c r="Q37" s="13"/>
      <c r="R37" s="20"/>
    </row>
    <row r="38" spans="1:18" ht="17.25" customHeight="1" x14ac:dyDescent="0.7">
      <c r="A38" s="11">
        <v>34</v>
      </c>
      <c r="B38" s="12">
        <v>42190</v>
      </c>
      <c r="C38" s="13" t="s">
        <v>413</v>
      </c>
      <c r="D38" s="13"/>
      <c r="E38" s="11"/>
      <c r="F38" s="11">
        <v>1</v>
      </c>
      <c r="G38" s="14">
        <v>42573</v>
      </c>
      <c r="H38" s="15" t="s">
        <v>623</v>
      </c>
      <c r="I38" s="15" t="s">
        <v>623</v>
      </c>
      <c r="J38" s="15" t="s">
        <v>623</v>
      </c>
      <c r="K38" s="18" t="s">
        <v>620</v>
      </c>
      <c r="L38" s="15"/>
      <c r="M38" s="15"/>
      <c r="N38" s="15"/>
      <c r="O38" s="15" t="s">
        <v>623</v>
      </c>
      <c r="P38" s="15"/>
      <c r="Q38" s="13"/>
      <c r="R38" s="20"/>
    </row>
    <row r="39" spans="1:18" ht="17.25" customHeight="1" x14ac:dyDescent="0.7">
      <c r="A39" s="11">
        <v>35</v>
      </c>
      <c r="B39" s="12">
        <v>42191</v>
      </c>
      <c r="C39" s="13" t="s">
        <v>394</v>
      </c>
      <c r="D39" s="13"/>
      <c r="E39" s="11" t="s">
        <v>395</v>
      </c>
      <c r="F39" s="11">
        <v>1</v>
      </c>
      <c r="G39" s="14">
        <v>42576</v>
      </c>
      <c r="H39" s="14">
        <v>42941</v>
      </c>
      <c r="I39" s="14">
        <v>43294</v>
      </c>
      <c r="J39" s="14">
        <v>43650</v>
      </c>
      <c r="K39" s="18"/>
      <c r="L39" s="14">
        <v>44032</v>
      </c>
      <c r="M39" s="14"/>
      <c r="N39" s="14"/>
      <c r="O39" s="14">
        <f t="shared" ref="O39:O45" si="0">+B39+1825+365</f>
        <v>44381</v>
      </c>
      <c r="P39" s="14"/>
      <c r="Q39" s="13"/>
      <c r="R39" s="20"/>
    </row>
    <row r="40" spans="1:18" ht="17.25" customHeight="1" x14ac:dyDescent="0.7">
      <c r="A40" s="11">
        <v>36</v>
      </c>
      <c r="B40" s="12">
        <v>42197</v>
      </c>
      <c r="C40" s="13" t="s">
        <v>352</v>
      </c>
      <c r="D40" s="13"/>
      <c r="E40" s="11" t="s">
        <v>353</v>
      </c>
      <c r="F40" s="11">
        <v>1</v>
      </c>
      <c r="G40" s="14">
        <v>42568</v>
      </c>
      <c r="H40" s="14">
        <v>43038</v>
      </c>
      <c r="I40" s="15" t="s">
        <v>623</v>
      </c>
      <c r="J40" s="14">
        <v>43469</v>
      </c>
      <c r="K40" s="18" t="s">
        <v>620</v>
      </c>
      <c r="L40" s="14">
        <v>44099</v>
      </c>
      <c r="M40" s="14"/>
      <c r="N40" s="14"/>
      <c r="O40" s="14">
        <f t="shared" si="0"/>
        <v>44387</v>
      </c>
      <c r="P40" s="14"/>
      <c r="Q40" s="13"/>
      <c r="R40" s="20"/>
    </row>
    <row r="41" spans="1:18" ht="17.25" customHeight="1" x14ac:dyDescent="0.7">
      <c r="A41" s="11">
        <v>37</v>
      </c>
      <c r="B41" s="12">
        <v>42200</v>
      </c>
      <c r="C41" s="17" t="s">
        <v>636</v>
      </c>
      <c r="D41" s="13"/>
      <c r="E41" s="11" t="s">
        <v>228</v>
      </c>
      <c r="F41" s="11">
        <v>1</v>
      </c>
      <c r="G41" s="14">
        <v>42562</v>
      </c>
      <c r="H41" s="14">
        <v>43027</v>
      </c>
      <c r="I41" s="14">
        <v>43328</v>
      </c>
      <c r="J41" s="14">
        <v>43670</v>
      </c>
      <c r="K41" s="18"/>
      <c r="L41" s="14">
        <v>44032</v>
      </c>
      <c r="M41" s="14"/>
      <c r="N41" s="14"/>
      <c r="O41" s="14">
        <f t="shared" si="0"/>
        <v>44390</v>
      </c>
      <c r="P41" s="14"/>
      <c r="Q41" s="13"/>
      <c r="R41" s="20"/>
    </row>
    <row r="42" spans="1:18" ht="17.25" customHeight="1" x14ac:dyDescent="0.7">
      <c r="A42" s="11">
        <v>38</v>
      </c>
      <c r="B42" s="12">
        <v>42202</v>
      </c>
      <c r="C42" s="13" t="s">
        <v>229</v>
      </c>
      <c r="D42" s="13"/>
      <c r="E42" s="11"/>
      <c r="F42" s="11">
        <v>1</v>
      </c>
      <c r="G42" s="15" t="s">
        <v>623</v>
      </c>
      <c r="H42" s="15" t="s">
        <v>623</v>
      </c>
      <c r="I42" s="15" t="s">
        <v>623</v>
      </c>
      <c r="J42" s="14">
        <v>43652</v>
      </c>
      <c r="K42" s="18"/>
      <c r="L42" s="14">
        <v>44042</v>
      </c>
      <c r="M42" s="15"/>
      <c r="N42" s="15"/>
      <c r="O42" s="14">
        <f t="shared" si="0"/>
        <v>44392</v>
      </c>
      <c r="P42" s="14"/>
      <c r="Q42" s="13"/>
      <c r="R42" s="20"/>
    </row>
    <row r="43" spans="1:18" ht="17.25" customHeight="1" x14ac:dyDescent="0.7">
      <c r="A43" s="11">
        <v>39</v>
      </c>
      <c r="B43" s="12">
        <v>42202</v>
      </c>
      <c r="C43" s="13" t="s">
        <v>230</v>
      </c>
      <c r="D43" s="13"/>
      <c r="E43" s="11" t="s">
        <v>231</v>
      </c>
      <c r="F43" s="11">
        <v>1</v>
      </c>
      <c r="G43" s="14">
        <v>42585</v>
      </c>
      <c r="H43" s="14">
        <v>42998</v>
      </c>
      <c r="I43" s="14">
        <v>43258</v>
      </c>
      <c r="J43" s="14">
        <v>43669</v>
      </c>
      <c r="K43" s="18"/>
      <c r="L43" s="14">
        <v>44038</v>
      </c>
      <c r="M43" s="14"/>
      <c r="N43" s="14"/>
      <c r="O43" s="14">
        <f t="shared" si="0"/>
        <v>44392</v>
      </c>
      <c r="P43" s="14"/>
      <c r="Q43" s="13"/>
      <c r="R43" s="20"/>
    </row>
    <row r="44" spans="1:18" ht="17.25" customHeight="1" x14ac:dyDescent="0.7">
      <c r="A44" s="11">
        <v>40</v>
      </c>
      <c r="B44" s="12">
        <v>42203</v>
      </c>
      <c r="C44" s="13" t="s">
        <v>232</v>
      </c>
      <c r="D44" s="13"/>
      <c r="E44" s="11" t="s">
        <v>233</v>
      </c>
      <c r="F44" s="11">
        <v>1</v>
      </c>
      <c r="G44" s="14">
        <v>42585</v>
      </c>
      <c r="H44" s="14">
        <v>42998</v>
      </c>
      <c r="I44" s="14">
        <v>43258</v>
      </c>
      <c r="J44" s="14">
        <v>43669</v>
      </c>
      <c r="K44" s="18"/>
      <c r="L44" s="14">
        <v>44076</v>
      </c>
      <c r="M44" s="14"/>
      <c r="N44" s="14"/>
      <c r="O44" s="14">
        <f t="shared" si="0"/>
        <v>44393</v>
      </c>
      <c r="P44" s="14"/>
      <c r="Q44" s="13"/>
      <c r="R44" s="20"/>
    </row>
    <row r="45" spans="1:18" ht="17.25" customHeight="1" x14ac:dyDescent="0.7">
      <c r="A45" s="11">
        <v>41</v>
      </c>
      <c r="B45" s="12">
        <v>42204</v>
      </c>
      <c r="C45" s="13" t="s">
        <v>235</v>
      </c>
      <c r="D45" s="13"/>
      <c r="E45" s="11" t="s">
        <v>237</v>
      </c>
      <c r="F45" s="11">
        <v>1</v>
      </c>
      <c r="G45" s="14">
        <v>42548</v>
      </c>
      <c r="H45" s="14">
        <v>42946</v>
      </c>
      <c r="I45" s="14">
        <v>43296</v>
      </c>
      <c r="J45" s="14">
        <v>43652</v>
      </c>
      <c r="K45" s="18"/>
      <c r="L45" s="14">
        <v>44034</v>
      </c>
      <c r="M45" s="14"/>
      <c r="N45" s="14"/>
      <c r="O45" s="14">
        <f t="shared" si="0"/>
        <v>44394</v>
      </c>
      <c r="P45" s="14"/>
      <c r="Q45" s="13"/>
      <c r="R45" s="20"/>
    </row>
    <row r="46" spans="1:18" ht="17.25" customHeight="1" x14ac:dyDescent="0.7">
      <c r="A46" s="11">
        <v>42</v>
      </c>
      <c r="B46" s="12">
        <v>42205</v>
      </c>
      <c r="C46" s="13" t="s">
        <v>414</v>
      </c>
      <c r="D46" s="13"/>
      <c r="E46" s="11" t="s">
        <v>415</v>
      </c>
      <c r="F46" s="11">
        <v>1</v>
      </c>
      <c r="G46" s="15" t="s">
        <v>623</v>
      </c>
      <c r="H46" s="15" t="s">
        <v>623</v>
      </c>
      <c r="I46" s="15" t="s">
        <v>623</v>
      </c>
      <c r="J46" s="15" t="s">
        <v>623</v>
      </c>
      <c r="K46" s="18" t="s">
        <v>620</v>
      </c>
      <c r="L46" s="15"/>
      <c r="M46" s="15"/>
      <c r="N46" s="15"/>
      <c r="O46" s="14">
        <f>+B46+1825</f>
        <v>44030</v>
      </c>
      <c r="P46" s="14"/>
      <c r="Q46" s="13"/>
      <c r="R46" s="20"/>
    </row>
    <row r="47" spans="1:18" ht="17.25" customHeight="1" x14ac:dyDescent="0.7">
      <c r="A47" s="11">
        <v>43</v>
      </c>
      <c r="B47" s="12">
        <v>42205</v>
      </c>
      <c r="C47" s="13" t="s">
        <v>238</v>
      </c>
      <c r="D47" s="13"/>
      <c r="E47" s="11" t="s">
        <v>239</v>
      </c>
      <c r="F47" s="11">
        <v>1</v>
      </c>
      <c r="G47" s="14">
        <v>42566</v>
      </c>
      <c r="H47" s="14">
        <v>43023</v>
      </c>
      <c r="I47" s="14">
        <v>43299</v>
      </c>
      <c r="J47" s="14">
        <v>43657</v>
      </c>
      <c r="K47" s="18"/>
      <c r="L47" s="14">
        <v>44046</v>
      </c>
      <c r="M47" s="14"/>
      <c r="N47" s="14"/>
      <c r="O47" s="14">
        <f t="shared" ref="O47:O55" si="1">+B47+1825+365</f>
        <v>44395</v>
      </c>
      <c r="P47" s="14"/>
      <c r="Q47" s="13"/>
      <c r="R47" s="20"/>
    </row>
    <row r="48" spans="1:18" ht="17.25" customHeight="1" x14ac:dyDescent="0.7">
      <c r="A48" s="11">
        <v>44</v>
      </c>
      <c r="B48" s="12">
        <v>42205</v>
      </c>
      <c r="C48" s="13" t="s">
        <v>354</v>
      </c>
      <c r="D48" s="13"/>
      <c r="E48" s="11" t="s">
        <v>355</v>
      </c>
      <c r="F48" s="11">
        <v>1</v>
      </c>
      <c r="G48" s="14">
        <v>42566</v>
      </c>
      <c r="H48" s="14">
        <v>43035</v>
      </c>
      <c r="I48" s="15"/>
      <c r="J48" s="14">
        <v>43657</v>
      </c>
      <c r="K48" s="18"/>
      <c r="L48" s="14">
        <v>44046</v>
      </c>
      <c r="M48" s="14"/>
      <c r="N48" s="14"/>
      <c r="O48" s="14">
        <f t="shared" si="1"/>
        <v>44395</v>
      </c>
      <c r="P48" s="14"/>
      <c r="Q48" s="13"/>
      <c r="R48" s="20"/>
    </row>
    <row r="49" spans="1:18" ht="17.25" customHeight="1" x14ac:dyDescent="0.7">
      <c r="A49" s="11">
        <v>45</v>
      </c>
      <c r="B49" s="12">
        <v>42205</v>
      </c>
      <c r="C49" s="13" t="s">
        <v>637</v>
      </c>
      <c r="D49" s="13"/>
      <c r="E49" s="11" t="s">
        <v>356</v>
      </c>
      <c r="F49" s="11">
        <v>1</v>
      </c>
      <c r="G49" s="15" t="s">
        <v>623</v>
      </c>
      <c r="H49" s="15" t="s">
        <v>623</v>
      </c>
      <c r="I49" s="15" t="s">
        <v>623</v>
      </c>
      <c r="J49" s="15" t="s">
        <v>623</v>
      </c>
      <c r="K49" s="18" t="s">
        <v>620</v>
      </c>
      <c r="L49" s="15">
        <v>44046</v>
      </c>
      <c r="M49" s="15"/>
      <c r="N49" s="15"/>
      <c r="O49" s="14">
        <f t="shared" si="1"/>
        <v>44395</v>
      </c>
      <c r="P49" s="14"/>
      <c r="Q49" s="13" t="s">
        <v>638</v>
      </c>
      <c r="R49" s="20">
        <v>46000</v>
      </c>
    </row>
    <row r="50" spans="1:18" ht="17.25" customHeight="1" x14ac:dyDescent="0.7">
      <c r="A50" s="11">
        <v>46</v>
      </c>
      <c r="B50" s="12">
        <v>42205</v>
      </c>
      <c r="C50" s="13" t="s">
        <v>240</v>
      </c>
      <c r="D50" s="13"/>
      <c r="E50" s="11" t="s">
        <v>241</v>
      </c>
      <c r="F50" s="11">
        <v>1</v>
      </c>
      <c r="G50" s="14">
        <v>42566</v>
      </c>
      <c r="H50" s="14">
        <v>43023</v>
      </c>
      <c r="I50" s="14">
        <v>43299</v>
      </c>
      <c r="J50" s="14">
        <v>43657</v>
      </c>
      <c r="K50" s="18"/>
      <c r="L50" s="14">
        <v>44046</v>
      </c>
      <c r="M50" s="14"/>
      <c r="N50" s="14"/>
      <c r="O50" s="14">
        <f t="shared" si="1"/>
        <v>44395</v>
      </c>
      <c r="P50" s="14"/>
      <c r="Q50" s="13"/>
      <c r="R50" s="20"/>
    </row>
    <row r="51" spans="1:18" ht="17.25" customHeight="1" x14ac:dyDescent="0.7">
      <c r="A51" s="11">
        <v>47</v>
      </c>
      <c r="B51" s="12">
        <v>42205</v>
      </c>
      <c r="C51" s="13" t="s">
        <v>242</v>
      </c>
      <c r="D51" s="13" t="s">
        <v>243</v>
      </c>
      <c r="E51" s="11" t="s">
        <v>244</v>
      </c>
      <c r="F51" s="11">
        <v>1</v>
      </c>
      <c r="G51" s="14">
        <v>42563</v>
      </c>
      <c r="H51" s="14">
        <v>43023</v>
      </c>
      <c r="I51" s="14">
        <v>43299</v>
      </c>
      <c r="J51" s="14">
        <v>43657</v>
      </c>
      <c r="K51" s="18"/>
      <c r="L51" s="14">
        <v>44046</v>
      </c>
      <c r="M51" s="14"/>
      <c r="N51" s="14"/>
      <c r="O51" s="14">
        <f t="shared" si="1"/>
        <v>44395</v>
      </c>
      <c r="P51" s="14"/>
      <c r="Q51" s="13"/>
      <c r="R51" s="20"/>
    </row>
    <row r="52" spans="1:18" ht="17.25" customHeight="1" x14ac:dyDescent="0.7">
      <c r="A52" s="11">
        <v>48</v>
      </c>
      <c r="B52" s="12">
        <v>42205</v>
      </c>
      <c r="C52" s="13" t="s">
        <v>639</v>
      </c>
      <c r="D52" s="13" t="s">
        <v>245</v>
      </c>
      <c r="E52" s="11" t="s">
        <v>246</v>
      </c>
      <c r="F52" s="11">
        <v>1</v>
      </c>
      <c r="G52" s="14">
        <v>42562</v>
      </c>
      <c r="H52" s="14">
        <v>43020</v>
      </c>
      <c r="I52" s="14">
        <v>43299</v>
      </c>
      <c r="J52" s="14">
        <v>43657</v>
      </c>
      <c r="K52" s="18"/>
      <c r="L52" s="14">
        <v>44046</v>
      </c>
      <c r="M52" s="14"/>
      <c r="N52" s="14"/>
      <c r="O52" s="14">
        <f t="shared" si="1"/>
        <v>44395</v>
      </c>
      <c r="P52" s="14"/>
      <c r="Q52" s="13"/>
      <c r="R52" s="20"/>
    </row>
    <row r="53" spans="1:18" ht="17.25" customHeight="1" x14ac:dyDescent="0.7">
      <c r="A53" s="11">
        <v>49</v>
      </c>
      <c r="B53" s="12">
        <v>42205</v>
      </c>
      <c r="C53" s="13" t="s">
        <v>640</v>
      </c>
      <c r="D53" s="13" t="s">
        <v>247</v>
      </c>
      <c r="E53" s="11" t="s">
        <v>248</v>
      </c>
      <c r="F53" s="11">
        <v>1</v>
      </c>
      <c r="G53" s="14">
        <v>42566</v>
      </c>
      <c r="H53" s="14">
        <v>43023</v>
      </c>
      <c r="I53" s="14">
        <v>43299</v>
      </c>
      <c r="J53" s="14">
        <v>43657</v>
      </c>
      <c r="K53" s="18"/>
      <c r="L53" s="14">
        <v>44046</v>
      </c>
      <c r="M53" s="14"/>
      <c r="N53" s="14"/>
      <c r="O53" s="14">
        <f t="shared" si="1"/>
        <v>44395</v>
      </c>
      <c r="P53" s="14"/>
      <c r="Q53" s="13"/>
      <c r="R53" s="20"/>
    </row>
    <row r="54" spans="1:18" ht="17.25" customHeight="1" x14ac:dyDescent="0.7">
      <c r="A54" s="11">
        <v>50</v>
      </c>
      <c r="B54" s="12">
        <v>42205</v>
      </c>
      <c r="C54" s="13" t="s">
        <v>641</v>
      </c>
      <c r="D54" s="13" t="s">
        <v>249</v>
      </c>
      <c r="E54" s="11" t="s">
        <v>250</v>
      </c>
      <c r="F54" s="11">
        <v>1</v>
      </c>
      <c r="G54" s="14">
        <v>42564</v>
      </c>
      <c r="H54" s="14">
        <v>42998</v>
      </c>
      <c r="I54" s="14">
        <v>43302</v>
      </c>
      <c r="J54" s="14">
        <v>43752</v>
      </c>
      <c r="K54" s="18"/>
      <c r="L54" s="14">
        <v>44034</v>
      </c>
      <c r="M54" s="14"/>
      <c r="N54" s="14"/>
      <c r="O54" s="14">
        <f t="shared" si="1"/>
        <v>44395</v>
      </c>
      <c r="P54" s="14"/>
      <c r="Q54" s="13"/>
      <c r="R54" s="20"/>
    </row>
    <row r="55" spans="1:18" ht="17.25" customHeight="1" x14ac:dyDescent="0.7">
      <c r="A55" s="11">
        <v>51</v>
      </c>
      <c r="B55" s="12">
        <v>42205</v>
      </c>
      <c r="C55" s="13" t="s">
        <v>642</v>
      </c>
      <c r="D55" s="13" t="s">
        <v>251</v>
      </c>
      <c r="E55" s="11" t="s">
        <v>252</v>
      </c>
      <c r="F55" s="11">
        <v>1</v>
      </c>
      <c r="G55" s="14">
        <v>42564</v>
      </c>
      <c r="H55" s="14">
        <v>43028</v>
      </c>
      <c r="I55" s="14">
        <v>43298</v>
      </c>
      <c r="J55" s="14">
        <v>43657</v>
      </c>
      <c r="K55" s="18"/>
      <c r="L55" s="14">
        <v>44046</v>
      </c>
      <c r="M55" s="14"/>
      <c r="N55" s="14"/>
      <c r="O55" s="14">
        <f t="shared" si="1"/>
        <v>44395</v>
      </c>
      <c r="P55" s="14"/>
      <c r="Q55" s="13"/>
      <c r="R55" s="20"/>
    </row>
    <row r="56" spans="1:18" ht="17.25" customHeight="1" x14ac:dyDescent="0.7">
      <c r="A56" s="11">
        <v>52</v>
      </c>
      <c r="B56" s="12">
        <v>42205</v>
      </c>
      <c r="C56" s="13" t="s">
        <v>416</v>
      </c>
      <c r="D56" s="13"/>
      <c r="E56" s="11" t="s">
        <v>417</v>
      </c>
      <c r="F56" s="11">
        <v>1</v>
      </c>
      <c r="G56" s="14">
        <v>42604</v>
      </c>
      <c r="H56" s="15" t="s">
        <v>623</v>
      </c>
      <c r="I56" s="15" t="s">
        <v>623</v>
      </c>
      <c r="J56" s="15" t="s">
        <v>623</v>
      </c>
      <c r="K56" s="18" t="s">
        <v>620</v>
      </c>
      <c r="L56" s="15"/>
      <c r="M56" s="15"/>
      <c r="N56" s="15"/>
      <c r="O56" s="14">
        <f>+B56+1825</f>
        <v>44030</v>
      </c>
      <c r="P56" s="14"/>
      <c r="Q56" s="13"/>
      <c r="R56" s="20"/>
    </row>
    <row r="57" spans="1:18" ht="17.25" customHeight="1" x14ac:dyDescent="0.7">
      <c r="A57" s="11">
        <v>53</v>
      </c>
      <c r="B57" s="12">
        <v>42205</v>
      </c>
      <c r="C57" s="13" t="s">
        <v>418</v>
      </c>
      <c r="D57" s="13"/>
      <c r="E57" s="11" t="s">
        <v>419</v>
      </c>
      <c r="F57" s="11">
        <v>1</v>
      </c>
      <c r="G57" s="15" t="s">
        <v>623</v>
      </c>
      <c r="H57" s="15" t="s">
        <v>623</v>
      </c>
      <c r="I57" s="15" t="s">
        <v>623</v>
      </c>
      <c r="J57" s="15" t="s">
        <v>623</v>
      </c>
      <c r="K57" s="18" t="s">
        <v>620</v>
      </c>
      <c r="L57" s="15"/>
      <c r="M57" s="15"/>
      <c r="N57" s="15"/>
      <c r="O57" s="15" t="s">
        <v>623</v>
      </c>
      <c r="P57" s="15"/>
      <c r="Q57" s="13"/>
      <c r="R57" s="20"/>
    </row>
    <row r="58" spans="1:18" ht="17.25" customHeight="1" x14ac:dyDescent="0.7">
      <c r="A58" s="11">
        <v>54</v>
      </c>
      <c r="B58" s="12">
        <v>42205</v>
      </c>
      <c r="C58" s="13" t="s">
        <v>643</v>
      </c>
      <c r="D58" s="13" t="s">
        <v>253</v>
      </c>
      <c r="E58" s="11" t="s">
        <v>254</v>
      </c>
      <c r="F58" s="11">
        <v>1</v>
      </c>
      <c r="G58" s="14">
        <v>42621</v>
      </c>
      <c r="H58" s="14">
        <v>43016</v>
      </c>
      <c r="I58" s="14">
        <v>43312</v>
      </c>
      <c r="J58" s="14">
        <v>43655</v>
      </c>
      <c r="K58" s="18"/>
      <c r="L58" s="14">
        <v>44046</v>
      </c>
      <c r="M58" s="14"/>
      <c r="N58" s="14"/>
      <c r="O58" s="14">
        <f>+B58+1825+365</f>
        <v>44395</v>
      </c>
      <c r="P58" s="14"/>
      <c r="Q58" s="13" t="s">
        <v>644</v>
      </c>
      <c r="R58" s="20"/>
    </row>
    <row r="59" spans="1:18" ht="17.25" customHeight="1" x14ac:dyDescent="0.7">
      <c r="A59" s="11">
        <v>55</v>
      </c>
      <c r="B59" s="12">
        <v>42205</v>
      </c>
      <c r="C59" s="13" t="s">
        <v>420</v>
      </c>
      <c r="D59" s="13"/>
      <c r="E59" s="11"/>
      <c r="F59" s="11">
        <v>1</v>
      </c>
      <c r="G59" s="15" t="s">
        <v>623</v>
      </c>
      <c r="H59" s="15" t="s">
        <v>623</v>
      </c>
      <c r="I59" s="15" t="s">
        <v>623</v>
      </c>
      <c r="J59" s="15"/>
      <c r="K59" s="18" t="s">
        <v>620</v>
      </c>
      <c r="L59" s="15"/>
      <c r="M59" s="15"/>
      <c r="N59" s="15"/>
      <c r="O59" s="14">
        <f>+B59+1825</f>
        <v>44030</v>
      </c>
      <c r="P59" s="14"/>
      <c r="Q59" s="13"/>
      <c r="R59" s="20"/>
    </row>
    <row r="60" spans="1:18" ht="17.25" customHeight="1" x14ac:dyDescent="0.7">
      <c r="A60" s="11">
        <v>56</v>
      </c>
      <c r="B60" s="12">
        <v>42205</v>
      </c>
      <c r="C60" s="13" t="s">
        <v>421</v>
      </c>
      <c r="D60" s="13"/>
      <c r="E60" s="11"/>
      <c r="F60" s="11">
        <v>1</v>
      </c>
      <c r="G60" s="15" t="s">
        <v>623</v>
      </c>
      <c r="H60" s="15" t="s">
        <v>623</v>
      </c>
      <c r="I60" s="15" t="s">
        <v>623</v>
      </c>
      <c r="J60" s="15" t="s">
        <v>623</v>
      </c>
      <c r="K60" s="18" t="s">
        <v>620</v>
      </c>
      <c r="L60" s="15"/>
      <c r="M60" s="15"/>
      <c r="N60" s="15"/>
      <c r="O60" s="14">
        <f>+B60+1825</f>
        <v>44030</v>
      </c>
      <c r="P60" s="14"/>
      <c r="Q60" s="13"/>
      <c r="R60" s="20"/>
    </row>
    <row r="61" spans="1:18" ht="17.25" customHeight="1" x14ac:dyDescent="0.7">
      <c r="A61" s="11">
        <v>57</v>
      </c>
      <c r="B61" s="12">
        <v>42205</v>
      </c>
      <c r="C61" s="13" t="s">
        <v>422</v>
      </c>
      <c r="D61" s="13"/>
      <c r="E61" s="11"/>
      <c r="F61" s="11">
        <v>1</v>
      </c>
      <c r="G61" s="14">
        <v>42616</v>
      </c>
      <c r="H61" s="14">
        <v>42998</v>
      </c>
      <c r="I61" s="14">
        <v>43294</v>
      </c>
      <c r="J61" s="14">
        <v>43649</v>
      </c>
      <c r="K61" s="18"/>
      <c r="L61" s="14"/>
      <c r="M61" s="14"/>
      <c r="N61" s="14"/>
      <c r="O61" s="14">
        <f>+B61+1825</f>
        <v>44030</v>
      </c>
      <c r="P61" s="14"/>
      <c r="Q61" s="13"/>
      <c r="R61" s="20"/>
    </row>
    <row r="62" spans="1:18" ht="17.25" customHeight="1" x14ac:dyDescent="0.7">
      <c r="A62" s="11">
        <v>58</v>
      </c>
      <c r="B62" s="12">
        <v>42207</v>
      </c>
      <c r="C62" s="13" t="s">
        <v>255</v>
      </c>
      <c r="D62" s="13"/>
      <c r="E62" s="11"/>
      <c r="F62" s="11">
        <v>1</v>
      </c>
      <c r="G62" s="14">
        <v>42689</v>
      </c>
      <c r="H62" s="15" t="s">
        <v>623</v>
      </c>
      <c r="I62" s="15" t="s">
        <v>623</v>
      </c>
      <c r="J62" s="15" t="s">
        <v>623</v>
      </c>
      <c r="K62" s="18" t="s">
        <v>620</v>
      </c>
      <c r="L62" s="14">
        <v>44041</v>
      </c>
      <c r="M62" s="15"/>
      <c r="N62" s="15"/>
      <c r="O62" s="14">
        <f>+B62+1825+365</f>
        <v>44397</v>
      </c>
      <c r="P62" s="14"/>
      <c r="Q62" s="13"/>
      <c r="R62" s="20"/>
    </row>
    <row r="63" spans="1:18" ht="17.25" customHeight="1" x14ac:dyDescent="0.7">
      <c r="A63" s="11">
        <v>59</v>
      </c>
      <c r="B63" s="12">
        <v>42213</v>
      </c>
      <c r="C63" s="13" t="s">
        <v>645</v>
      </c>
      <c r="D63" s="13"/>
      <c r="E63" s="11" t="s">
        <v>256</v>
      </c>
      <c r="F63" s="11">
        <v>1</v>
      </c>
      <c r="G63" s="14">
        <v>42564</v>
      </c>
      <c r="H63" s="14">
        <v>42937</v>
      </c>
      <c r="I63" s="14">
        <v>43340</v>
      </c>
      <c r="J63" s="14">
        <v>43657</v>
      </c>
      <c r="K63" s="18"/>
      <c r="L63" s="14">
        <v>44046</v>
      </c>
      <c r="M63" s="14"/>
      <c r="N63" s="14"/>
      <c r="O63" s="14">
        <f>+B63+1825+365</f>
        <v>44403</v>
      </c>
      <c r="P63" s="14"/>
      <c r="Q63" s="13"/>
      <c r="R63" s="20"/>
    </row>
    <row r="64" spans="1:18" ht="17.25" customHeight="1" x14ac:dyDescent="0.7">
      <c r="A64" s="11">
        <v>60</v>
      </c>
      <c r="B64" s="12">
        <v>42213</v>
      </c>
      <c r="C64" s="13" t="s">
        <v>646</v>
      </c>
      <c r="D64" s="13"/>
      <c r="E64" s="11" t="s">
        <v>286</v>
      </c>
      <c r="F64" s="11">
        <v>1</v>
      </c>
      <c r="G64" s="14">
        <v>42567</v>
      </c>
      <c r="H64" s="14">
        <v>43025</v>
      </c>
      <c r="I64" s="15" t="s">
        <v>623</v>
      </c>
      <c r="J64" s="15" t="s">
        <v>623</v>
      </c>
      <c r="K64" s="18" t="s">
        <v>620</v>
      </c>
      <c r="L64" s="14">
        <v>44046</v>
      </c>
      <c r="M64" s="14"/>
      <c r="N64" s="14"/>
      <c r="O64" s="14">
        <f>+B64+1825+365</f>
        <v>44403</v>
      </c>
      <c r="P64" s="14"/>
      <c r="Q64" s="13"/>
      <c r="R64" s="20"/>
    </row>
    <row r="65" spans="1:18" ht="17.25" customHeight="1" x14ac:dyDescent="0.7">
      <c r="A65" s="11">
        <v>61</v>
      </c>
      <c r="B65" s="12">
        <v>42213</v>
      </c>
      <c r="C65" s="13" t="s">
        <v>257</v>
      </c>
      <c r="D65" s="13"/>
      <c r="E65" s="11" t="s">
        <v>258</v>
      </c>
      <c r="F65" s="11">
        <v>1</v>
      </c>
      <c r="G65" s="14">
        <v>42576</v>
      </c>
      <c r="H65" s="14">
        <v>43000</v>
      </c>
      <c r="I65" s="14">
        <v>43318</v>
      </c>
      <c r="J65" s="14">
        <v>43672</v>
      </c>
      <c r="K65" s="18"/>
      <c r="L65" s="14">
        <v>44037</v>
      </c>
      <c r="M65" s="14"/>
      <c r="N65" s="14"/>
      <c r="O65" s="14">
        <f>+B65+1825+365</f>
        <v>44403</v>
      </c>
      <c r="P65" s="14"/>
      <c r="Q65" s="13"/>
      <c r="R65" s="20"/>
    </row>
    <row r="66" spans="1:18" ht="17.25" customHeight="1" x14ac:dyDescent="0.7">
      <c r="A66" s="11">
        <v>62</v>
      </c>
      <c r="B66" s="12">
        <v>42213</v>
      </c>
      <c r="C66" s="13" t="s">
        <v>423</v>
      </c>
      <c r="D66" s="13" t="s">
        <v>424</v>
      </c>
      <c r="E66" s="11" t="s">
        <v>425</v>
      </c>
      <c r="F66" s="11">
        <v>1</v>
      </c>
      <c r="G66" s="15" t="s">
        <v>623</v>
      </c>
      <c r="H66" s="15" t="s">
        <v>623</v>
      </c>
      <c r="I66" s="15" t="s">
        <v>623</v>
      </c>
      <c r="J66" s="15" t="s">
        <v>623</v>
      </c>
      <c r="K66" s="18" t="s">
        <v>620</v>
      </c>
      <c r="L66" s="15"/>
      <c r="M66" s="15"/>
      <c r="N66" s="15"/>
      <c r="O66" s="14">
        <f>+B66+1825</f>
        <v>44038</v>
      </c>
      <c r="P66" s="14"/>
      <c r="Q66" s="13"/>
      <c r="R66" s="20"/>
    </row>
    <row r="67" spans="1:18" ht="17.25" customHeight="1" x14ac:dyDescent="0.7">
      <c r="A67" s="11">
        <v>63</v>
      </c>
      <c r="B67" s="12">
        <v>42213</v>
      </c>
      <c r="C67" s="13" t="s">
        <v>426</v>
      </c>
      <c r="D67" s="13"/>
      <c r="E67" s="11" t="s">
        <v>427</v>
      </c>
      <c r="F67" s="11">
        <v>1</v>
      </c>
      <c r="G67" s="14">
        <v>42595</v>
      </c>
      <c r="H67" s="15" t="s">
        <v>623</v>
      </c>
      <c r="I67" s="15" t="s">
        <v>623</v>
      </c>
      <c r="J67" s="15" t="s">
        <v>623</v>
      </c>
      <c r="K67" s="18" t="s">
        <v>620</v>
      </c>
      <c r="L67" s="15"/>
      <c r="M67" s="15"/>
      <c r="N67" s="15"/>
      <c r="O67" s="14">
        <f>+B67+1825</f>
        <v>44038</v>
      </c>
      <c r="P67" s="14"/>
      <c r="Q67" s="13"/>
      <c r="R67" s="20"/>
    </row>
    <row r="68" spans="1:18" ht="17.25" customHeight="1" x14ac:dyDescent="0.7">
      <c r="A68" s="11">
        <v>64</v>
      </c>
      <c r="B68" s="12">
        <v>42216</v>
      </c>
      <c r="C68" s="13" t="s">
        <v>396</v>
      </c>
      <c r="D68" s="13"/>
      <c r="E68" s="11"/>
      <c r="F68" s="11">
        <v>1</v>
      </c>
      <c r="G68" s="14">
        <v>42576</v>
      </c>
      <c r="H68" s="14">
        <v>42998</v>
      </c>
      <c r="I68" s="14">
        <v>43384</v>
      </c>
      <c r="J68" s="14">
        <v>43648</v>
      </c>
      <c r="K68" s="18"/>
      <c r="L68" s="14">
        <v>44033</v>
      </c>
      <c r="M68" s="14"/>
      <c r="N68" s="14"/>
      <c r="O68" s="14">
        <f>+B68+1825+365</f>
        <v>44406</v>
      </c>
      <c r="P68" s="14"/>
      <c r="Q68" s="13"/>
      <c r="R68" s="20"/>
    </row>
    <row r="69" spans="1:18" ht="17.25" customHeight="1" x14ac:dyDescent="0.7">
      <c r="A69" s="11">
        <v>65</v>
      </c>
      <c r="B69" s="12">
        <v>42221</v>
      </c>
      <c r="C69" s="13" t="s">
        <v>428</v>
      </c>
      <c r="D69" s="13"/>
      <c r="E69" s="11"/>
      <c r="F69" s="11">
        <v>1</v>
      </c>
      <c r="G69" s="15" t="s">
        <v>623</v>
      </c>
      <c r="H69" s="15" t="s">
        <v>623</v>
      </c>
      <c r="I69" s="15" t="s">
        <v>623</v>
      </c>
      <c r="J69" s="15" t="s">
        <v>623</v>
      </c>
      <c r="K69" s="18" t="s">
        <v>620</v>
      </c>
      <c r="L69" s="15"/>
      <c r="M69" s="15"/>
      <c r="N69" s="15"/>
      <c r="O69" s="14">
        <f>+B69+1825</f>
        <v>44046</v>
      </c>
      <c r="P69" s="14"/>
      <c r="Q69" s="13"/>
      <c r="R69" s="20"/>
    </row>
    <row r="70" spans="1:18" ht="17.25" customHeight="1" x14ac:dyDescent="0.7">
      <c r="A70" s="11">
        <v>66</v>
      </c>
      <c r="B70" s="12">
        <v>42223</v>
      </c>
      <c r="C70" s="13" t="s">
        <v>429</v>
      </c>
      <c r="D70" s="13"/>
      <c r="E70" s="11"/>
      <c r="F70" s="11">
        <v>1</v>
      </c>
      <c r="G70" s="14">
        <v>42564</v>
      </c>
      <c r="H70" s="14">
        <v>43032</v>
      </c>
      <c r="I70" s="15" t="s">
        <v>623</v>
      </c>
      <c r="J70" s="15" t="s">
        <v>623</v>
      </c>
      <c r="K70" s="18" t="s">
        <v>620</v>
      </c>
      <c r="L70" s="14"/>
      <c r="M70" s="14"/>
      <c r="N70" s="14"/>
      <c r="O70" s="14">
        <f>+B70+1825</f>
        <v>44048</v>
      </c>
      <c r="P70" s="14"/>
      <c r="Q70" s="13"/>
      <c r="R70" s="20"/>
    </row>
    <row r="71" spans="1:18" ht="17.25" customHeight="1" x14ac:dyDescent="0.7">
      <c r="A71" s="11">
        <v>67</v>
      </c>
      <c r="B71" s="12">
        <v>42226</v>
      </c>
      <c r="C71" s="13" t="s">
        <v>379</v>
      </c>
      <c r="D71" s="13"/>
      <c r="E71" s="11"/>
      <c r="F71" s="11">
        <v>1</v>
      </c>
      <c r="G71" s="15" t="s">
        <v>375</v>
      </c>
      <c r="H71" s="15" t="s">
        <v>375</v>
      </c>
      <c r="I71" s="15" t="s">
        <v>375</v>
      </c>
      <c r="J71" s="15" t="s">
        <v>375</v>
      </c>
      <c r="K71" s="19" t="s">
        <v>375</v>
      </c>
      <c r="L71" s="15"/>
      <c r="M71" s="15"/>
      <c r="N71" s="15"/>
      <c r="O71" s="19" t="s">
        <v>375</v>
      </c>
      <c r="P71" s="19"/>
      <c r="Q71" s="21"/>
      <c r="R71" s="22"/>
    </row>
    <row r="72" spans="1:18" ht="17.25" customHeight="1" x14ac:dyDescent="0.7">
      <c r="A72" s="11">
        <v>68</v>
      </c>
      <c r="B72" s="12">
        <v>42227</v>
      </c>
      <c r="C72" s="13" t="s">
        <v>380</v>
      </c>
      <c r="D72" s="13"/>
      <c r="E72" s="11" t="s">
        <v>381</v>
      </c>
      <c r="F72" s="11">
        <v>1</v>
      </c>
      <c r="G72" s="14">
        <v>42565</v>
      </c>
      <c r="H72" s="14">
        <v>43046</v>
      </c>
      <c r="I72" s="15" t="s">
        <v>623</v>
      </c>
      <c r="J72" s="15" t="s">
        <v>623</v>
      </c>
      <c r="K72" s="19" t="s">
        <v>375</v>
      </c>
      <c r="L72" s="14"/>
      <c r="M72" s="14"/>
      <c r="N72" s="14"/>
      <c r="O72" s="19" t="s">
        <v>375</v>
      </c>
      <c r="P72" s="19"/>
      <c r="Q72" s="13"/>
      <c r="R72" s="20"/>
    </row>
    <row r="73" spans="1:18" ht="17.25" customHeight="1" x14ac:dyDescent="0.7">
      <c r="A73" s="11">
        <v>69</v>
      </c>
      <c r="B73" s="12">
        <v>42227</v>
      </c>
      <c r="C73" s="13" t="s">
        <v>647</v>
      </c>
      <c r="D73" s="13" t="s">
        <v>430</v>
      </c>
      <c r="E73" s="11"/>
      <c r="F73" s="11">
        <v>1</v>
      </c>
      <c r="G73" s="14">
        <v>42689</v>
      </c>
      <c r="H73" s="15" t="s">
        <v>623</v>
      </c>
      <c r="I73" s="15" t="s">
        <v>623</v>
      </c>
      <c r="J73" s="15" t="s">
        <v>623</v>
      </c>
      <c r="K73" s="18" t="s">
        <v>620</v>
      </c>
      <c r="L73" s="15"/>
      <c r="M73" s="15"/>
      <c r="N73" s="15"/>
      <c r="O73" s="14">
        <f>+B73+1825</f>
        <v>44052</v>
      </c>
      <c r="P73" s="14"/>
      <c r="Q73" s="13"/>
      <c r="R73" s="20"/>
    </row>
    <row r="74" spans="1:18" ht="17.25" customHeight="1" x14ac:dyDescent="0.7">
      <c r="A74" s="11">
        <v>70</v>
      </c>
      <c r="B74" s="12">
        <v>42232</v>
      </c>
      <c r="C74" s="13" t="s">
        <v>648</v>
      </c>
      <c r="D74" s="13" t="s">
        <v>274</v>
      </c>
      <c r="E74" s="11" t="s">
        <v>275</v>
      </c>
      <c r="F74" s="11">
        <v>1</v>
      </c>
      <c r="G74" s="14">
        <v>42675</v>
      </c>
      <c r="H74" s="14">
        <v>43013</v>
      </c>
      <c r="I74" s="14">
        <v>43353</v>
      </c>
      <c r="J74" s="14"/>
      <c r="K74" s="18"/>
      <c r="L74" s="14">
        <v>44032</v>
      </c>
      <c r="M74" s="14"/>
      <c r="N74" s="14"/>
      <c r="O74" s="14">
        <f>+B74+1825+365</f>
        <v>44422</v>
      </c>
      <c r="P74" s="14"/>
      <c r="Q74" s="13" t="s">
        <v>649</v>
      </c>
      <c r="R74" s="20">
        <v>10280</v>
      </c>
    </row>
    <row r="75" spans="1:18" ht="17.25" customHeight="1" x14ac:dyDescent="0.7">
      <c r="A75" s="11">
        <v>71</v>
      </c>
      <c r="B75" s="12">
        <v>42232</v>
      </c>
      <c r="C75" s="13" t="s">
        <v>650</v>
      </c>
      <c r="D75" s="13" t="s">
        <v>259</v>
      </c>
      <c r="E75" s="11" t="s">
        <v>260</v>
      </c>
      <c r="F75" s="11">
        <v>1</v>
      </c>
      <c r="G75" s="14">
        <v>42577</v>
      </c>
      <c r="H75" s="14">
        <v>42794</v>
      </c>
      <c r="I75" s="14">
        <v>43159</v>
      </c>
      <c r="J75" s="14">
        <v>43763</v>
      </c>
      <c r="K75" s="18"/>
      <c r="L75" s="14"/>
      <c r="M75" s="14"/>
      <c r="N75" s="14"/>
      <c r="O75" s="14">
        <f>+B75+1825</f>
        <v>44057</v>
      </c>
      <c r="P75" s="14"/>
      <c r="Q75" s="13"/>
      <c r="R75" s="20"/>
    </row>
    <row r="76" spans="1:18" ht="17.25" customHeight="1" x14ac:dyDescent="0.7">
      <c r="A76" s="11">
        <v>72</v>
      </c>
      <c r="B76" s="12">
        <v>42232</v>
      </c>
      <c r="C76" s="13" t="s">
        <v>651</v>
      </c>
      <c r="D76" s="13" t="s">
        <v>382</v>
      </c>
      <c r="E76" s="11" t="s">
        <v>383</v>
      </c>
      <c r="F76" s="11">
        <v>1</v>
      </c>
      <c r="G76" s="14">
        <v>42560</v>
      </c>
      <c r="H76" s="14">
        <v>42942</v>
      </c>
      <c r="I76" s="15" t="s">
        <v>375</v>
      </c>
      <c r="J76" s="15" t="s">
        <v>375</v>
      </c>
      <c r="K76" s="19" t="s">
        <v>375</v>
      </c>
      <c r="L76" s="15"/>
      <c r="M76" s="15"/>
      <c r="N76" s="15"/>
      <c r="O76" s="19" t="s">
        <v>375</v>
      </c>
      <c r="P76" s="19"/>
      <c r="Q76" s="21"/>
      <c r="R76" s="22"/>
    </row>
    <row r="77" spans="1:18" ht="17.25" customHeight="1" x14ac:dyDescent="0.7">
      <c r="A77" s="11">
        <v>73</v>
      </c>
      <c r="B77" s="12">
        <v>42233</v>
      </c>
      <c r="C77" s="13" t="s">
        <v>384</v>
      </c>
      <c r="D77" s="13"/>
      <c r="E77" s="11" t="s">
        <v>385</v>
      </c>
      <c r="F77" s="11">
        <v>1</v>
      </c>
      <c r="G77" s="15">
        <v>42573</v>
      </c>
      <c r="H77" s="15" t="s">
        <v>375</v>
      </c>
      <c r="I77" s="15"/>
      <c r="J77" s="15" t="s">
        <v>375</v>
      </c>
      <c r="K77" s="19" t="s">
        <v>375</v>
      </c>
      <c r="L77" s="15"/>
      <c r="M77" s="15"/>
      <c r="N77" s="15"/>
      <c r="O77" s="19" t="s">
        <v>375</v>
      </c>
      <c r="P77" s="19"/>
      <c r="Q77" s="21"/>
      <c r="R77" s="22"/>
    </row>
    <row r="78" spans="1:18" ht="17.25" customHeight="1" x14ac:dyDescent="0.7">
      <c r="A78" s="11">
        <v>74</v>
      </c>
      <c r="B78" s="12">
        <v>42240</v>
      </c>
      <c r="C78" s="13" t="s">
        <v>652</v>
      </c>
      <c r="D78" s="13" t="s">
        <v>431</v>
      </c>
      <c r="E78" s="11" t="s">
        <v>432</v>
      </c>
      <c r="F78" s="11">
        <v>1</v>
      </c>
      <c r="G78" s="14">
        <v>42676</v>
      </c>
      <c r="H78" s="14">
        <v>43035</v>
      </c>
      <c r="I78" s="14">
        <v>43358</v>
      </c>
      <c r="J78" s="15" t="s">
        <v>623</v>
      </c>
      <c r="K78" s="18"/>
      <c r="L78" s="14"/>
      <c r="M78" s="14"/>
      <c r="N78" s="14"/>
      <c r="O78" s="14">
        <f>+B78+1825</f>
        <v>44065</v>
      </c>
      <c r="P78" s="14"/>
      <c r="Q78" s="13"/>
      <c r="R78" s="20"/>
    </row>
    <row r="79" spans="1:18" ht="17.25" customHeight="1" x14ac:dyDescent="0.7">
      <c r="A79" s="11">
        <v>75</v>
      </c>
      <c r="B79" s="12">
        <v>42242</v>
      </c>
      <c r="C79" s="13" t="s">
        <v>653</v>
      </c>
      <c r="D79" s="13" t="s">
        <v>433</v>
      </c>
      <c r="E79" s="11" t="s">
        <v>434</v>
      </c>
      <c r="F79" s="11">
        <v>1</v>
      </c>
      <c r="G79" s="15" t="s">
        <v>623</v>
      </c>
      <c r="H79" s="15" t="s">
        <v>623</v>
      </c>
      <c r="I79" s="15" t="s">
        <v>623</v>
      </c>
      <c r="J79" s="15" t="s">
        <v>623</v>
      </c>
      <c r="K79" s="18" t="s">
        <v>620</v>
      </c>
      <c r="L79" s="15"/>
      <c r="M79" s="15"/>
      <c r="N79" s="15"/>
      <c r="O79" s="14">
        <f>+B79+1825</f>
        <v>44067</v>
      </c>
      <c r="P79" s="14"/>
      <c r="Q79" s="13"/>
      <c r="R79" s="20"/>
    </row>
    <row r="80" spans="1:18" ht="17.25" customHeight="1" x14ac:dyDescent="0.7">
      <c r="A80" s="11">
        <v>76</v>
      </c>
      <c r="B80" s="12">
        <v>42243</v>
      </c>
      <c r="C80" s="13" t="s">
        <v>654</v>
      </c>
      <c r="D80" s="13" t="s">
        <v>386</v>
      </c>
      <c r="E80" s="11" t="s">
        <v>387</v>
      </c>
      <c r="F80" s="11">
        <v>1</v>
      </c>
      <c r="G80" s="15" t="s">
        <v>623</v>
      </c>
      <c r="H80" s="15" t="s">
        <v>623</v>
      </c>
      <c r="I80" s="15" t="s">
        <v>375</v>
      </c>
      <c r="J80" s="15" t="s">
        <v>375</v>
      </c>
      <c r="K80" s="19" t="s">
        <v>375</v>
      </c>
      <c r="L80" s="15"/>
      <c r="M80" s="15"/>
      <c r="N80" s="15"/>
      <c r="O80" s="19" t="s">
        <v>375</v>
      </c>
      <c r="P80" s="19"/>
      <c r="Q80" s="21"/>
      <c r="R80" s="22"/>
    </row>
    <row r="81" spans="1:18" ht="17.25" customHeight="1" x14ac:dyDescent="0.7">
      <c r="A81" s="11">
        <v>77</v>
      </c>
      <c r="B81" s="12">
        <v>42243</v>
      </c>
      <c r="C81" s="13" t="s">
        <v>435</v>
      </c>
      <c r="D81" s="13"/>
      <c r="E81" s="11" t="s">
        <v>436</v>
      </c>
      <c r="F81" s="11">
        <v>1</v>
      </c>
      <c r="G81" s="14">
        <v>42677</v>
      </c>
      <c r="H81" s="14">
        <v>42677</v>
      </c>
      <c r="I81" s="15" t="s">
        <v>623</v>
      </c>
      <c r="J81" s="15" t="s">
        <v>623</v>
      </c>
      <c r="K81" s="18" t="s">
        <v>620</v>
      </c>
      <c r="L81" s="14"/>
      <c r="M81" s="14"/>
      <c r="N81" s="14"/>
      <c r="O81" s="14">
        <f>+B81+1825</f>
        <v>44068</v>
      </c>
      <c r="P81" s="14"/>
      <c r="Q81" s="13"/>
      <c r="R81" s="20"/>
    </row>
    <row r="82" spans="1:18" ht="17.25" customHeight="1" x14ac:dyDescent="0.7">
      <c r="A82" s="11">
        <v>78</v>
      </c>
      <c r="B82" s="12">
        <v>42263</v>
      </c>
      <c r="C82" s="13" t="s">
        <v>655</v>
      </c>
      <c r="D82" s="13"/>
      <c r="E82" s="11" t="s">
        <v>437</v>
      </c>
      <c r="F82" s="11">
        <v>1</v>
      </c>
      <c r="G82" s="15" t="s">
        <v>623</v>
      </c>
      <c r="H82" s="15" t="s">
        <v>623</v>
      </c>
      <c r="I82" s="15" t="s">
        <v>623</v>
      </c>
      <c r="J82" s="15" t="s">
        <v>623</v>
      </c>
      <c r="K82" s="18" t="s">
        <v>620</v>
      </c>
      <c r="L82" s="15"/>
      <c r="M82" s="15"/>
      <c r="N82" s="15"/>
      <c r="O82" s="14">
        <f>+B82+1825</f>
        <v>44088</v>
      </c>
      <c r="P82" s="14"/>
      <c r="Q82" s="21"/>
      <c r="R82" s="22"/>
    </row>
    <row r="83" spans="1:18" ht="17.25" customHeight="1" x14ac:dyDescent="0.7">
      <c r="A83" s="11">
        <v>79</v>
      </c>
      <c r="B83" s="12">
        <v>42267</v>
      </c>
      <c r="C83" s="13" t="s">
        <v>276</v>
      </c>
      <c r="D83" s="13"/>
      <c r="E83" s="11"/>
      <c r="F83" s="11">
        <v>1</v>
      </c>
      <c r="G83" s="14">
        <v>42493</v>
      </c>
      <c r="H83" s="15" t="s">
        <v>623</v>
      </c>
      <c r="I83" s="15" t="s">
        <v>623</v>
      </c>
      <c r="J83" s="15" t="s">
        <v>623</v>
      </c>
      <c r="K83" s="18" t="s">
        <v>620</v>
      </c>
      <c r="L83" s="15"/>
      <c r="M83" s="15"/>
      <c r="N83" s="15"/>
      <c r="O83" s="14">
        <f>+B83+1825</f>
        <v>44092</v>
      </c>
      <c r="P83" s="14"/>
      <c r="Q83" s="21"/>
      <c r="R83" s="22"/>
    </row>
    <row r="84" spans="1:18" ht="17.25" customHeight="1" x14ac:dyDescent="0.7">
      <c r="A84" s="11">
        <v>80</v>
      </c>
      <c r="B84" s="12">
        <v>42279</v>
      </c>
      <c r="C84" s="13" t="s">
        <v>656</v>
      </c>
      <c r="D84" s="13"/>
      <c r="E84" s="11" t="s">
        <v>388</v>
      </c>
      <c r="F84" s="11">
        <v>1</v>
      </c>
      <c r="G84" s="14">
        <v>42794</v>
      </c>
      <c r="H84" s="15" t="s">
        <v>657</v>
      </c>
      <c r="I84" s="15" t="s">
        <v>657</v>
      </c>
      <c r="J84" s="15" t="s">
        <v>375</v>
      </c>
      <c r="K84" s="19" t="s">
        <v>375</v>
      </c>
      <c r="L84" s="15"/>
      <c r="M84" s="15"/>
      <c r="N84" s="15"/>
      <c r="O84" s="19" t="s">
        <v>375</v>
      </c>
      <c r="P84" s="19"/>
      <c r="Q84" s="21"/>
      <c r="R84" s="22"/>
    </row>
    <row r="85" spans="1:18" ht="17.25" customHeight="1" x14ac:dyDescent="0.7">
      <c r="A85" s="11">
        <v>81</v>
      </c>
      <c r="B85" s="12">
        <v>42287</v>
      </c>
      <c r="C85" s="13" t="s">
        <v>438</v>
      </c>
      <c r="D85" s="13"/>
      <c r="E85" s="11" t="s">
        <v>439</v>
      </c>
      <c r="F85" s="11">
        <v>1</v>
      </c>
      <c r="G85" s="15" t="s">
        <v>623</v>
      </c>
      <c r="H85" s="15" t="s">
        <v>623</v>
      </c>
      <c r="I85" s="15" t="s">
        <v>623</v>
      </c>
      <c r="J85" s="15" t="s">
        <v>623</v>
      </c>
      <c r="K85" s="18" t="s">
        <v>620</v>
      </c>
      <c r="L85" s="15"/>
      <c r="M85" s="15"/>
      <c r="N85" s="15"/>
      <c r="O85" s="15" t="s">
        <v>623</v>
      </c>
      <c r="P85" s="15"/>
      <c r="Q85" s="21"/>
      <c r="R85" s="22"/>
    </row>
    <row r="86" spans="1:18" ht="17.25" customHeight="1" x14ac:dyDescent="0.7">
      <c r="A86" s="11">
        <v>82</v>
      </c>
      <c r="B86" s="12">
        <v>42287</v>
      </c>
      <c r="C86" s="13" t="s">
        <v>309</v>
      </c>
      <c r="D86" s="13"/>
      <c r="E86" s="11" t="s">
        <v>310</v>
      </c>
      <c r="F86" s="11">
        <v>1</v>
      </c>
      <c r="G86" s="14" t="s">
        <v>658</v>
      </c>
      <c r="H86" s="14">
        <v>42998</v>
      </c>
      <c r="I86" s="14">
        <v>43384</v>
      </c>
      <c r="J86" s="14">
        <v>43752</v>
      </c>
      <c r="K86" s="18"/>
      <c r="L86" s="14">
        <v>44140</v>
      </c>
      <c r="M86" s="14"/>
      <c r="N86" s="14"/>
      <c r="O86" s="14">
        <f>+B86+1825+365</f>
        <v>44477</v>
      </c>
      <c r="P86" s="14"/>
      <c r="Q86" s="21"/>
      <c r="R86" s="22"/>
    </row>
    <row r="87" spans="1:18" ht="17.25" customHeight="1" x14ac:dyDescent="0.7">
      <c r="A87" s="11">
        <v>83</v>
      </c>
      <c r="B87" s="12">
        <v>42374</v>
      </c>
      <c r="C87" s="13" t="s">
        <v>9</v>
      </c>
      <c r="D87" s="13"/>
      <c r="E87" s="11" t="s">
        <v>11</v>
      </c>
      <c r="F87" s="11">
        <v>1</v>
      </c>
      <c r="G87" s="14"/>
      <c r="H87" s="14">
        <v>42779</v>
      </c>
      <c r="I87" s="14">
        <v>43109</v>
      </c>
      <c r="J87" s="14">
        <v>43497</v>
      </c>
      <c r="K87" s="18"/>
      <c r="L87" s="14">
        <v>43868</v>
      </c>
      <c r="M87" s="14"/>
      <c r="N87" s="14"/>
      <c r="O87" s="14">
        <f>+B87+1095+365+365</f>
        <v>44199</v>
      </c>
      <c r="P87" s="14"/>
      <c r="Q87" s="13"/>
      <c r="R87" s="20"/>
    </row>
    <row r="88" spans="1:18" ht="17.25" customHeight="1" x14ac:dyDescent="0.7">
      <c r="A88" s="11">
        <v>84</v>
      </c>
      <c r="B88" s="12">
        <v>42395</v>
      </c>
      <c r="C88" s="13" t="s">
        <v>441</v>
      </c>
      <c r="D88" s="13"/>
      <c r="E88" s="11"/>
      <c r="F88" s="11" t="s">
        <v>440</v>
      </c>
      <c r="G88" s="14"/>
      <c r="H88" s="14">
        <v>42795</v>
      </c>
      <c r="I88" s="15" t="s">
        <v>623</v>
      </c>
      <c r="J88" s="15" t="s">
        <v>623</v>
      </c>
      <c r="K88" s="18" t="s">
        <v>620</v>
      </c>
      <c r="L88" s="15"/>
      <c r="M88" s="15"/>
      <c r="N88" s="15"/>
      <c r="O88" s="15" t="s">
        <v>623</v>
      </c>
      <c r="P88" s="15"/>
      <c r="Q88" s="13"/>
      <c r="R88" s="20"/>
    </row>
    <row r="89" spans="1:18" ht="17.25" customHeight="1" x14ac:dyDescent="0.7">
      <c r="A89" s="11">
        <v>85</v>
      </c>
      <c r="B89" s="12">
        <v>42395</v>
      </c>
      <c r="C89" s="13" t="s">
        <v>443</v>
      </c>
      <c r="D89" s="13"/>
      <c r="E89" s="11"/>
      <c r="F89" s="11" t="s">
        <v>442</v>
      </c>
      <c r="G89" s="14"/>
      <c r="H89" s="14">
        <v>42824</v>
      </c>
      <c r="I89" s="15" t="s">
        <v>623</v>
      </c>
      <c r="J89" s="15" t="s">
        <v>623</v>
      </c>
      <c r="K89" s="18" t="s">
        <v>620</v>
      </c>
      <c r="L89" s="14"/>
      <c r="M89" s="14"/>
      <c r="N89" s="14"/>
      <c r="O89" s="14">
        <f>+B89+1095+365</f>
        <v>43855</v>
      </c>
      <c r="P89" s="14"/>
      <c r="Q89" s="13"/>
      <c r="R89" s="20"/>
    </row>
    <row r="90" spans="1:18" ht="17.25" customHeight="1" x14ac:dyDescent="0.7">
      <c r="A90" s="11">
        <v>86</v>
      </c>
      <c r="B90" s="12">
        <v>42395</v>
      </c>
      <c r="C90" s="13" t="s">
        <v>444</v>
      </c>
      <c r="D90" s="13"/>
      <c r="E90" s="11" t="s">
        <v>445</v>
      </c>
      <c r="F90" s="11" t="s">
        <v>440</v>
      </c>
      <c r="G90" s="14"/>
      <c r="H90" s="14">
        <v>42795</v>
      </c>
      <c r="I90" s="14">
        <v>43140</v>
      </c>
      <c r="J90" s="15" t="s">
        <v>623</v>
      </c>
      <c r="K90" s="18" t="s">
        <v>620</v>
      </c>
      <c r="L90" s="14"/>
      <c r="M90" s="14"/>
      <c r="N90" s="14"/>
      <c r="O90" s="14">
        <f>+B90+1460</f>
        <v>43855</v>
      </c>
      <c r="P90" s="14"/>
      <c r="Q90" s="13"/>
      <c r="R90" s="20"/>
    </row>
    <row r="91" spans="1:18" ht="17.25" customHeight="1" x14ac:dyDescent="0.7">
      <c r="A91" s="11">
        <v>87</v>
      </c>
      <c r="B91" s="12">
        <v>42397</v>
      </c>
      <c r="C91" s="13" t="s">
        <v>446</v>
      </c>
      <c r="D91" s="13"/>
      <c r="E91" s="11" t="s">
        <v>447</v>
      </c>
      <c r="F91" s="11" t="s">
        <v>440</v>
      </c>
      <c r="G91" s="15"/>
      <c r="H91" s="15" t="s">
        <v>623</v>
      </c>
      <c r="I91" s="15" t="s">
        <v>623</v>
      </c>
      <c r="J91" s="15" t="s">
        <v>623</v>
      </c>
      <c r="K91" s="18" t="s">
        <v>620</v>
      </c>
      <c r="L91" s="15"/>
      <c r="M91" s="15"/>
      <c r="N91" s="15"/>
      <c r="O91" s="15" t="s">
        <v>623</v>
      </c>
      <c r="P91" s="15"/>
      <c r="Q91" s="13"/>
      <c r="R91" s="20"/>
    </row>
    <row r="92" spans="1:18" ht="17.25" customHeight="1" x14ac:dyDescent="0.7">
      <c r="A92" s="11">
        <v>88</v>
      </c>
      <c r="B92" s="12">
        <v>42397</v>
      </c>
      <c r="C92" s="13" t="s">
        <v>449</v>
      </c>
      <c r="D92" s="13"/>
      <c r="E92" s="11"/>
      <c r="F92" s="11" t="s">
        <v>448</v>
      </c>
      <c r="G92" s="15"/>
      <c r="H92" s="15" t="s">
        <v>623</v>
      </c>
      <c r="I92" s="15" t="s">
        <v>623</v>
      </c>
      <c r="J92" s="15" t="s">
        <v>623</v>
      </c>
      <c r="K92" s="18" t="s">
        <v>620</v>
      </c>
      <c r="L92" s="15"/>
      <c r="M92" s="15"/>
      <c r="N92" s="15"/>
      <c r="O92" s="14">
        <f>+B92+1095+365</f>
        <v>43857</v>
      </c>
      <c r="P92" s="14"/>
      <c r="Q92" s="13" t="s">
        <v>659</v>
      </c>
      <c r="R92" s="20">
        <v>12000</v>
      </c>
    </row>
    <row r="93" spans="1:18" ht="17.25" customHeight="1" x14ac:dyDescent="0.7">
      <c r="A93" s="11">
        <v>89</v>
      </c>
      <c r="B93" s="12">
        <v>42395</v>
      </c>
      <c r="C93" s="13" t="s">
        <v>660</v>
      </c>
      <c r="D93" s="13"/>
      <c r="E93" s="11"/>
      <c r="F93" s="11" t="s">
        <v>450</v>
      </c>
      <c r="G93" s="14"/>
      <c r="H93" s="15" t="s">
        <v>623</v>
      </c>
      <c r="I93" s="14">
        <v>43172</v>
      </c>
      <c r="J93" s="15" t="s">
        <v>623</v>
      </c>
      <c r="K93" s="18" t="s">
        <v>620</v>
      </c>
      <c r="L93" s="14"/>
      <c r="M93" s="14"/>
      <c r="N93" s="14"/>
      <c r="O93" s="14">
        <f>+B93+1460</f>
        <v>43855</v>
      </c>
      <c r="P93" s="14"/>
      <c r="Q93" s="13" t="s">
        <v>661</v>
      </c>
      <c r="R93" s="20"/>
    </row>
    <row r="94" spans="1:18" ht="17.25" customHeight="1" x14ac:dyDescent="0.7">
      <c r="A94" s="11">
        <v>90</v>
      </c>
      <c r="B94" s="12">
        <v>42395</v>
      </c>
      <c r="C94" s="13" t="s">
        <v>14</v>
      </c>
      <c r="D94" s="13"/>
      <c r="E94" s="11" t="s">
        <v>16</v>
      </c>
      <c r="F94" s="11" t="s">
        <v>12</v>
      </c>
      <c r="G94" s="14"/>
      <c r="H94" s="14">
        <v>42745</v>
      </c>
      <c r="I94" s="14">
        <v>43109</v>
      </c>
      <c r="J94" s="14">
        <v>43506</v>
      </c>
      <c r="K94" s="18"/>
      <c r="L94" s="14">
        <v>43872</v>
      </c>
      <c r="M94" s="14"/>
      <c r="N94" s="14"/>
      <c r="O94" s="14">
        <f>+B94+1460+365</f>
        <v>44220</v>
      </c>
      <c r="P94" s="14"/>
      <c r="Q94" s="13"/>
      <c r="R94" s="20"/>
    </row>
    <row r="95" spans="1:18" ht="17.25" customHeight="1" x14ac:dyDescent="0.7">
      <c r="A95" s="11">
        <v>91</v>
      </c>
      <c r="B95" s="12">
        <v>42397</v>
      </c>
      <c r="C95" s="13" t="s">
        <v>19</v>
      </c>
      <c r="D95" s="13"/>
      <c r="E95" s="11" t="s">
        <v>21</v>
      </c>
      <c r="F95" s="11" t="s">
        <v>662</v>
      </c>
      <c r="G95" s="14"/>
      <c r="H95" s="14">
        <v>42746</v>
      </c>
      <c r="I95" s="14">
        <v>43110</v>
      </c>
      <c r="J95" s="14">
        <v>43497</v>
      </c>
      <c r="K95" s="14"/>
      <c r="L95" s="14">
        <v>43836</v>
      </c>
      <c r="M95" s="14">
        <v>44202</v>
      </c>
      <c r="N95" s="14"/>
      <c r="O95" s="14">
        <f>+B95+1460+365</f>
        <v>44222</v>
      </c>
      <c r="P95" s="14"/>
      <c r="Q95" s="13"/>
      <c r="R95" s="20"/>
    </row>
    <row r="96" spans="1:18" ht="17.25" customHeight="1" x14ac:dyDescent="0.7">
      <c r="A96" s="11">
        <v>92</v>
      </c>
      <c r="B96" s="12">
        <v>42397</v>
      </c>
      <c r="C96" s="13" t="s">
        <v>23</v>
      </c>
      <c r="D96" s="13"/>
      <c r="E96" s="11" t="s">
        <v>24</v>
      </c>
      <c r="F96" s="11" t="s">
        <v>663</v>
      </c>
      <c r="G96" s="14"/>
      <c r="H96" s="14">
        <v>42737</v>
      </c>
      <c r="I96" s="14">
        <v>43093</v>
      </c>
      <c r="J96" s="14">
        <v>43452</v>
      </c>
      <c r="K96" s="14"/>
      <c r="L96" s="14">
        <v>43812</v>
      </c>
      <c r="M96" s="14">
        <v>44190</v>
      </c>
      <c r="N96" s="14"/>
      <c r="O96" s="14">
        <f>+B96+1460+365</f>
        <v>44222</v>
      </c>
      <c r="P96" s="14"/>
      <c r="Q96" s="13"/>
      <c r="R96" s="20"/>
    </row>
    <row r="97" spans="1:18" ht="17.25" customHeight="1" x14ac:dyDescent="0.7">
      <c r="A97" s="11">
        <v>93</v>
      </c>
      <c r="B97" s="12">
        <v>42398</v>
      </c>
      <c r="C97" s="13" t="s">
        <v>25</v>
      </c>
      <c r="D97" s="13"/>
      <c r="E97" s="11" t="s">
        <v>27</v>
      </c>
      <c r="F97" s="11">
        <v>1</v>
      </c>
      <c r="G97" s="14"/>
      <c r="H97" s="14">
        <v>42758</v>
      </c>
      <c r="I97" s="14">
        <v>43132</v>
      </c>
      <c r="J97" s="14">
        <v>43671</v>
      </c>
      <c r="K97" s="18"/>
      <c r="L97" s="14">
        <v>43671</v>
      </c>
      <c r="M97" s="14"/>
      <c r="N97" s="14"/>
      <c r="O97" s="14">
        <f>+B97+1460+365</f>
        <v>44223</v>
      </c>
      <c r="P97" s="14"/>
      <c r="Q97" s="13" t="s">
        <v>664</v>
      </c>
      <c r="R97" s="20">
        <v>12130</v>
      </c>
    </row>
    <row r="98" spans="1:18" ht="17.25" customHeight="1" x14ac:dyDescent="0.7">
      <c r="A98" s="11">
        <v>94</v>
      </c>
      <c r="B98" s="12">
        <v>42399</v>
      </c>
      <c r="C98" s="13" t="s">
        <v>665</v>
      </c>
      <c r="D98" s="13" t="s">
        <v>287</v>
      </c>
      <c r="E98" s="11" t="s">
        <v>288</v>
      </c>
      <c r="F98" s="11" t="s">
        <v>101</v>
      </c>
      <c r="G98" s="14"/>
      <c r="H98" s="14">
        <v>42768</v>
      </c>
      <c r="I98" s="14">
        <v>43109</v>
      </c>
      <c r="J98" s="14">
        <v>43497</v>
      </c>
      <c r="K98" s="18" t="s">
        <v>620</v>
      </c>
      <c r="L98" s="14"/>
      <c r="M98" s="14"/>
      <c r="N98" s="14"/>
      <c r="O98" s="14">
        <f>+B98+1460</f>
        <v>43859</v>
      </c>
      <c r="P98" s="14"/>
      <c r="Q98" s="13"/>
      <c r="R98" s="20"/>
    </row>
    <row r="99" spans="1:18" ht="17.25" customHeight="1" x14ac:dyDescent="0.7">
      <c r="A99" s="11">
        <v>95</v>
      </c>
      <c r="B99" s="12">
        <v>42398</v>
      </c>
      <c r="C99" s="13" t="s">
        <v>451</v>
      </c>
      <c r="D99" s="13"/>
      <c r="E99" s="11" t="s">
        <v>452</v>
      </c>
      <c r="F99" s="11" t="s">
        <v>12</v>
      </c>
      <c r="G99" s="14"/>
      <c r="H99" s="14">
        <v>42806</v>
      </c>
      <c r="I99" s="14">
        <v>43145</v>
      </c>
      <c r="J99" s="15" t="s">
        <v>623</v>
      </c>
      <c r="K99" s="18" t="s">
        <v>620</v>
      </c>
      <c r="L99" s="14"/>
      <c r="M99" s="14"/>
      <c r="N99" s="14"/>
      <c r="O99" s="14">
        <f>+B99+1460</f>
        <v>43858</v>
      </c>
      <c r="P99" s="14"/>
      <c r="Q99" s="13"/>
      <c r="R99" s="20"/>
    </row>
    <row r="100" spans="1:18" ht="17.25" customHeight="1" x14ac:dyDescent="0.7">
      <c r="A100" s="11">
        <v>96</v>
      </c>
      <c r="B100" s="12">
        <v>42398</v>
      </c>
      <c r="C100" s="13" t="s">
        <v>666</v>
      </c>
      <c r="D100" s="13"/>
      <c r="E100" s="11" t="s">
        <v>453</v>
      </c>
      <c r="F100" s="11" t="s">
        <v>442</v>
      </c>
      <c r="G100" s="14"/>
      <c r="H100" s="14">
        <v>42814</v>
      </c>
      <c r="I100" s="15" t="s">
        <v>623</v>
      </c>
      <c r="J100" s="15" t="s">
        <v>623</v>
      </c>
      <c r="K100" s="18" t="s">
        <v>620</v>
      </c>
      <c r="L100" s="14"/>
      <c r="M100" s="14"/>
      <c r="N100" s="14"/>
      <c r="O100" s="14">
        <f>+B100+1095+365</f>
        <v>43858</v>
      </c>
      <c r="P100" s="14"/>
      <c r="Q100" s="13"/>
      <c r="R100" s="20"/>
    </row>
    <row r="101" spans="1:18" ht="17.25" customHeight="1" x14ac:dyDescent="0.7">
      <c r="A101" s="11">
        <v>97</v>
      </c>
      <c r="B101" s="12">
        <v>42398</v>
      </c>
      <c r="C101" s="13" t="s">
        <v>30</v>
      </c>
      <c r="D101" s="13" t="s">
        <v>31</v>
      </c>
      <c r="E101" s="11" t="s">
        <v>32</v>
      </c>
      <c r="F101" s="11" t="s">
        <v>28</v>
      </c>
      <c r="G101" s="14"/>
      <c r="H101" s="14">
        <v>42758</v>
      </c>
      <c r="I101" s="14">
        <v>43108</v>
      </c>
      <c r="J101" s="14">
        <v>43497</v>
      </c>
      <c r="K101" s="18"/>
      <c r="L101" s="14">
        <v>43857</v>
      </c>
      <c r="M101" s="14"/>
      <c r="N101" s="14"/>
      <c r="O101" s="14">
        <f>+B101+1460+365</f>
        <v>44223</v>
      </c>
      <c r="P101" s="14"/>
      <c r="Q101" s="13"/>
      <c r="R101" s="20"/>
    </row>
    <row r="102" spans="1:18" ht="17.25" customHeight="1" x14ac:dyDescent="0.7">
      <c r="A102" s="11">
        <v>98</v>
      </c>
      <c r="B102" s="12">
        <v>42399</v>
      </c>
      <c r="C102" s="13" t="s">
        <v>289</v>
      </c>
      <c r="D102" s="13" t="s">
        <v>290</v>
      </c>
      <c r="E102" s="11" t="s">
        <v>291</v>
      </c>
      <c r="F102" s="11" t="s">
        <v>28</v>
      </c>
      <c r="G102" s="14"/>
      <c r="H102" s="14">
        <v>42784</v>
      </c>
      <c r="I102" s="14">
        <v>43137</v>
      </c>
      <c r="J102" s="14" t="s">
        <v>623</v>
      </c>
      <c r="K102" s="18" t="s">
        <v>620</v>
      </c>
      <c r="L102" s="14"/>
      <c r="M102" s="14"/>
      <c r="N102" s="14"/>
      <c r="O102" s="14">
        <f>+B102+1460</f>
        <v>43859</v>
      </c>
      <c r="P102" s="14"/>
      <c r="Q102" s="13"/>
      <c r="R102" s="20"/>
    </row>
    <row r="103" spans="1:18" ht="17.25" customHeight="1" x14ac:dyDescent="0.7">
      <c r="A103" s="11">
        <v>99</v>
      </c>
      <c r="B103" s="12">
        <v>42399</v>
      </c>
      <c r="C103" s="13" t="s">
        <v>454</v>
      </c>
      <c r="D103" s="13"/>
      <c r="E103" s="11" t="s">
        <v>455</v>
      </c>
      <c r="F103" s="11" t="s">
        <v>12</v>
      </c>
      <c r="G103" s="14"/>
      <c r="H103" s="14">
        <v>42879</v>
      </c>
      <c r="I103" s="14">
        <v>43126</v>
      </c>
      <c r="J103" s="15" t="s">
        <v>623</v>
      </c>
      <c r="K103" s="18" t="s">
        <v>620</v>
      </c>
      <c r="L103" s="14"/>
      <c r="M103" s="14"/>
      <c r="N103" s="14"/>
      <c r="O103" s="15" t="s">
        <v>623</v>
      </c>
      <c r="P103" s="15"/>
      <c r="Q103" s="13"/>
      <c r="R103" s="20"/>
    </row>
    <row r="104" spans="1:18" ht="17.25" customHeight="1" x14ac:dyDescent="0.7">
      <c r="A104" s="11">
        <v>100</v>
      </c>
      <c r="B104" s="12">
        <v>42400</v>
      </c>
      <c r="C104" s="13" t="s">
        <v>389</v>
      </c>
      <c r="D104" s="13"/>
      <c r="E104" s="11" t="s">
        <v>390</v>
      </c>
      <c r="F104" s="11" t="s">
        <v>60</v>
      </c>
      <c r="G104" s="15"/>
      <c r="H104" s="15" t="s">
        <v>623</v>
      </c>
      <c r="I104" s="15" t="s">
        <v>375</v>
      </c>
      <c r="J104" s="15" t="s">
        <v>375</v>
      </c>
      <c r="K104" s="19" t="s">
        <v>375</v>
      </c>
      <c r="L104" s="15"/>
      <c r="M104" s="15"/>
      <c r="N104" s="15"/>
      <c r="O104" s="15" t="s">
        <v>375</v>
      </c>
      <c r="P104" s="15"/>
      <c r="Q104" s="21"/>
      <c r="R104" s="22"/>
    </row>
    <row r="105" spans="1:18" ht="17.25" customHeight="1" x14ac:dyDescent="0.7">
      <c r="A105" s="11">
        <v>101</v>
      </c>
      <c r="B105" s="12">
        <v>42401</v>
      </c>
      <c r="C105" s="13" t="s">
        <v>45</v>
      </c>
      <c r="D105" s="13"/>
      <c r="E105" s="11"/>
      <c r="F105" s="11" t="s">
        <v>43</v>
      </c>
      <c r="G105" s="14"/>
      <c r="H105" s="14">
        <v>42766</v>
      </c>
      <c r="I105" s="14">
        <v>43155</v>
      </c>
      <c r="J105" s="14">
        <v>43497</v>
      </c>
      <c r="K105" s="18"/>
      <c r="L105" s="14">
        <v>43869</v>
      </c>
      <c r="M105" s="14"/>
      <c r="N105" s="14"/>
      <c r="O105" s="14">
        <f>+B105+1460+365</f>
        <v>44226</v>
      </c>
      <c r="P105" s="14"/>
      <c r="Q105" s="13"/>
      <c r="R105" s="20"/>
    </row>
    <row r="106" spans="1:18" ht="17.25" customHeight="1" x14ac:dyDescent="0.7">
      <c r="A106" s="11">
        <v>102</v>
      </c>
      <c r="B106" s="12">
        <v>42401</v>
      </c>
      <c r="C106" s="13" t="s">
        <v>48</v>
      </c>
      <c r="D106" s="13" t="s">
        <v>49</v>
      </c>
      <c r="E106" s="11" t="s">
        <v>50</v>
      </c>
      <c r="F106" s="11" t="s">
        <v>28</v>
      </c>
      <c r="G106" s="14"/>
      <c r="H106" s="14">
        <v>42767</v>
      </c>
      <c r="I106" s="14">
        <v>43168</v>
      </c>
      <c r="J106" s="14">
        <v>43497</v>
      </c>
      <c r="K106" s="18"/>
      <c r="L106" s="14">
        <v>43869</v>
      </c>
      <c r="M106" s="14"/>
      <c r="N106" s="14"/>
      <c r="O106" s="14">
        <f>+B106+1460+365</f>
        <v>44226</v>
      </c>
      <c r="P106" s="14"/>
      <c r="Q106" s="13"/>
      <c r="R106" s="20"/>
    </row>
    <row r="107" spans="1:18" ht="17.25" customHeight="1" x14ac:dyDescent="0.7">
      <c r="A107" s="11">
        <v>103</v>
      </c>
      <c r="B107" s="12">
        <v>42403</v>
      </c>
      <c r="C107" s="13" t="s">
        <v>456</v>
      </c>
      <c r="D107" s="13"/>
      <c r="E107" s="11"/>
      <c r="F107" s="11" t="s">
        <v>43</v>
      </c>
      <c r="G107" s="15"/>
      <c r="H107" s="15" t="s">
        <v>623</v>
      </c>
      <c r="I107" s="15" t="s">
        <v>623</v>
      </c>
      <c r="J107" s="15" t="s">
        <v>623</v>
      </c>
      <c r="K107" s="18" t="s">
        <v>620</v>
      </c>
      <c r="L107" s="15"/>
      <c r="M107" s="15"/>
      <c r="N107" s="15"/>
      <c r="O107" s="14">
        <f>+B107+1460</f>
        <v>43863</v>
      </c>
      <c r="P107" s="14"/>
      <c r="Q107" s="13"/>
      <c r="R107" s="20"/>
    </row>
    <row r="108" spans="1:18" ht="17.25" customHeight="1" x14ac:dyDescent="0.7">
      <c r="A108" s="11">
        <v>104</v>
      </c>
      <c r="B108" s="12">
        <v>42404</v>
      </c>
      <c r="C108" s="13" t="s">
        <v>457</v>
      </c>
      <c r="D108" s="13"/>
      <c r="E108" s="11" t="s">
        <v>458</v>
      </c>
      <c r="F108" s="11" t="s">
        <v>60</v>
      </c>
      <c r="G108" s="14"/>
      <c r="H108" s="14">
        <v>42795</v>
      </c>
      <c r="I108" s="14">
        <v>43145</v>
      </c>
      <c r="J108" s="14" t="s">
        <v>623</v>
      </c>
      <c r="K108" s="18" t="s">
        <v>620</v>
      </c>
      <c r="L108" s="14"/>
      <c r="M108" s="14"/>
      <c r="N108" s="14"/>
      <c r="O108" s="14">
        <f>+B108+1460</f>
        <v>43864</v>
      </c>
      <c r="P108" s="14"/>
      <c r="Q108" s="13"/>
      <c r="R108" s="20"/>
    </row>
    <row r="109" spans="1:18" ht="17.25" customHeight="1" x14ac:dyDescent="0.7">
      <c r="A109" s="11">
        <v>105</v>
      </c>
      <c r="B109" s="12">
        <v>42405</v>
      </c>
      <c r="C109" s="13" t="s">
        <v>459</v>
      </c>
      <c r="D109" s="13"/>
      <c r="E109" s="11" t="s">
        <v>460</v>
      </c>
      <c r="F109" s="11" t="s">
        <v>137</v>
      </c>
      <c r="G109" s="14"/>
      <c r="H109" s="14">
        <v>42815</v>
      </c>
      <c r="I109" s="14">
        <v>43174</v>
      </c>
      <c r="J109" s="15" t="s">
        <v>623</v>
      </c>
      <c r="K109" s="18"/>
      <c r="L109" s="15"/>
      <c r="M109" s="15"/>
      <c r="N109" s="15"/>
      <c r="O109" s="15" t="s">
        <v>623</v>
      </c>
      <c r="P109" s="15"/>
      <c r="Q109" s="13" t="s">
        <v>667</v>
      </c>
      <c r="R109" s="20">
        <v>10240</v>
      </c>
    </row>
    <row r="110" spans="1:18" ht="17.25" customHeight="1" x14ac:dyDescent="0.7">
      <c r="A110" s="11">
        <v>106</v>
      </c>
      <c r="B110" s="12">
        <v>42408</v>
      </c>
      <c r="C110" s="13" t="s">
        <v>53</v>
      </c>
      <c r="D110" s="13"/>
      <c r="E110" s="11" t="s">
        <v>55</v>
      </c>
      <c r="F110" s="11" t="s">
        <v>51</v>
      </c>
      <c r="G110" s="14"/>
      <c r="H110" s="14">
        <v>42878</v>
      </c>
      <c r="I110" s="14">
        <v>43150</v>
      </c>
      <c r="J110" s="14">
        <v>43497</v>
      </c>
      <c r="K110" s="18"/>
      <c r="L110" s="14">
        <v>43895</v>
      </c>
      <c r="M110" s="14"/>
      <c r="N110" s="14"/>
      <c r="O110" s="14">
        <f>+B110+1460+365</f>
        <v>44233</v>
      </c>
      <c r="P110" s="14"/>
      <c r="Q110" s="13"/>
      <c r="R110" s="20"/>
    </row>
    <row r="111" spans="1:18" ht="17.25" customHeight="1" x14ac:dyDescent="0.7">
      <c r="A111" s="11">
        <v>107</v>
      </c>
      <c r="B111" s="12">
        <v>42408</v>
      </c>
      <c r="C111" s="23" t="s">
        <v>461</v>
      </c>
      <c r="D111" s="23"/>
      <c r="E111" s="11" t="s">
        <v>462</v>
      </c>
      <c r="F111" s="11" t="s">
        <v>137</v>
      </c>
      <c r="G111" s="15"/>
      <c r="H111" s="15" t="s">
        <v>623</v>
      </c>
      <c r="I111" s="15" t="s">
        <v>623</v>
      </c>
      <c r="J111" s="15" t="s">
        <v>623</v>
      </c>
      <c r="K111" s="18" t="s">
        <v>620</v>
      </c>
      <c r="L111" s="15"/>
      <c r="M111" s="15"/>
      <c r="N111" s="15"/>
      <c r="O111" s="14">
        <f>+B111+1460</f>
        <v>43868</v>
      </c>
      <c r="P111" s="14"/>
      <c r="Q111" s="13"/>
      <c r="R111" s="20"/>
    </row>
    <row r="112" spans="1:18" ht="17.25" customHeight="1" x14ac:dyDescent="0.7">
      <c r="A112" s="11">
        <v>108</v>
      </c>
      <c r="B112" s="12">
        <v>42409</v>
      </c>
      <c r="C112" s="13" t="s">
        <v>464</v>
      </c>
      <c r="D112" s="13"/>
      <c r="E112" s="11" t="s">
        <v>465</v>
      </c>
      <c r="F112" s="11" t="s">
        <v>463</v>
      </c>
      <c r="G112" s="14"/>
      <c r="H112" s="14">
        <v>42775</v>
      </c>
      <c r="I112" s="15" t="s">
        <v>623</v>
      </c>
      <c r="J112" s="15" t="s">
        <v>623</v>
      </c>
      <c r="K112" s="18" t="s">
        <v>620</v>
      </c>
      <c r="L112" s="14"/>
      <c r="M112" s="14"/>
      <c r="N112" s="14"/>
      <c r="O112" s="14">
        <f>+B112+1460</f>
        <v>43869</v>
      </c>
      <c r="P112" s="14"/>
      <c r="Q112" s="13"/>
      <c r="R112" s="20"/>
    </row>
    <row r="113" spans="1:18" ht="17.25" customHeight="1" x14ac:dyDescent="0.7">
      <c r="A113" s="11">
        <v>109</v>
      </c>
      <c r="B113" s="12">
        <v>42409</v>
      </c>
      <c r="C113" s="13" t="s">
        <v>57</v>
      </c>
      <c r="D113" s="13"/>
      <c r="E113" s="11" t="s">
        <v>59</v>
      </c>
      <c r="F113" s="11">
        <v>1</v>
      </c>
      <c r="G113" s="14"/>
      <c r="H113" s="14">
        <v>42793</v>
      </c>
      <c r="I113" s="14">
        <v>43149</v>
      </c>
      <c r="J113" s="14">
        <v>43497</v>
      </c>
      <c r="K113" s="18"/>
      <c r="L113" s="14">
        <v>43868</v>
      </c>
      <c r="M113" s="14"/>
      <c r="N113" s="14"/>
      <c r="O113" s="14">
        <f>+B113+1460+365</f>
        <v>44234</v>
      </c>
      <c r="P113" s="14"/>
      <c r="Q113" s="13"/>
      <c r="R113" s="20"/>
    </row>
    <row r="114" spans="1:18" ht="17.25" customHeight="1" x14ac:dyDescent="0.7">
      <c r="A114" s="11">
        <v>110</v>
      </c>
      <c r="B114" s="12">
        <v>42410</v>
      </c>
      <c r="C114" s="13" t="s">
        <v>466</v>
      </c>
      <c r="D114" s="13"/>
      <c r="E114" s="11" t="s">
        <v>467</v>
      </c>
      <c r="F114" s="11" t="s">
        <v>137</v>
      </c>
      <c r="G114" s="15"/>
      <c r="H114" s="15" t="s">
        <v>623</v>
      </c>
      <c r="I114" s="15" t="s">
        <v>623</v>
      </c>
      <c r="J114" s="15" t="s">
        <v>623</v>
      </c>
      <c r="K114" s="18" t="s">
        <v>620</v>
      </c>
      <c r="L114" s="15"/>
      <c r="M114" s="15"/>
      <c r="N114" s="15"/>
      <c r="O114" s="14">
        <f t="shared" ref="O114:O120" si="2">+B114+1460</f>
        <v>43870</v>
      </c>
      <c r="P114" s="14"/>
      <c r="Q114" s="13"/>
      <c r="R114" s="20"/>
    </row>
    <row r="115" spans="1:18" ht="17.25" customHeight="1" x14ac:dyDescent="0.7">
      <c r="A115" s="11">
        <v>111</v>
      </c>
      <c r="B115" s="12">
        <v>42410</v>
      </c>
      <c r="C115" s="13" t="s">
        <v>468</v>
      </c>
      <c r="D115" s="13"/>
      <c r="E115" s="11" t="s">
        <v>469</v>
      </c>
      <c r="F115" s="11" t="s">
        <v>60</v>
      </c>
      <c r="G115" s="14"/>
      <c r="H115" s="14">
        <v>42786</v>
      </c>
      <c r="I115" s="14">
        <v>43136</v>
      </c>
      <c r="J115" s="14">
        <v>43517</v>
      </c>
      <c r="K115" s="18"/>
      <c r="L115" s="14"/>
      <c r="M115" s="14"/>
      <c r="N115" s="14"/>
      <c r="O115" s="14">
        <f t="shared" si="2"/>
        <v>43870</v>
      </c>
      <c r="P115" s="14"/>
      <c r="Q115" s="13"/>
      <c r="R115" s="20"/>
    </row>
    <row r="116" spans="1:18" ht="17.25" customHeight="1" x14ac:dyDescent="0.7">
      <c r="A116" s="11">
        <v>112</v>
      </c>
      <c r="B116" s="12">
        <v>42410</v>
      </c>
      <c r="C116" s="13" t="s">
        <v>470</v>
      </c>
      <c r="D116" s="13"/>
      <c r="E116" s="11" t="s">
        <v>471</v>
      </c>
      <c r="F116" s="11" t="s">
        <v>60</v>
      </c>
      <c r="G116" s="14"/>
      <c r="H116" s="14">
        <v>42795</v>
      </c>
      <c r="I116" s="14">
        <v>43154</v>
      </c>
      <c r="J116" s="15" t="s">
        <v>623</v>
      </c>
      <c r="K116" s="18" t="s">
        <v>620</v>
      </c>
      <c r="L116" s="14"/>
      <c r="M116" s="14"/>
      <c r="N116" s="14"/>
      <c r="O116" s="14">
        <f t="shared" si="2"/>
        <v>43870</v>
      </c>
      <c r="P116" s="14"/>
      <c r="Q116" s="13"/>
      <c r="R116" s="20"/>
    </row>
    <row r="117" spans="1:18" ht="17.25" customHeight="1" x14ac:dyDescent="0.7">
      <c r="A117" s="11">
        <v>113</v>
      </c>
      <c r="B117" s="12">
        <v>42410</v>
      </c>
      <c r="C117" s="13" t="s">
        <v>472</v>
      </c>
      <c r="D117" s="13"/>
      <c r="E117" s="11" t="s">
        <v>473</v>
      </c>
      <c r="F117" s="11" t="s">
        <v>28</v>
      </c>
      <c r="G117" s="15"/>
      <c r="H117" s="15" t="s">
        <v>623</v>
      </c>
      <c r="I117" s="15" t="s">
        <v>623</v>
      </c>
      <c r="J117" s="15" t="s">
        <v>623</v>
      </c>
      <c r="K117" s="18" t="s">
        <v>620</v>
      </c>
      <c r="L117" s="15"/>
      <c r="M117" s="15"/>
      <c r="N117" s="15"/>
      <c r="O117" s="14">
        <f t="shared" si="2"/>
        <v>43870</v>
      </c>
      <c r="P117" s="14"/>
      <c r="Q117" s="13"/>
      <c r="R117" s="20"/>
    </row>
    <row r="118" spans="1:18" ht="17.25" customHeight="1" x14ac:dyDescent="0.7">
      <c r="A118" s="11">
        <v>114</v>
      </c>
      <c r="B118" s="12">
        <v>42411</v>
      </c>
      <c r="C118" s="13" t="s">
        <v>474</v>
      </c>
      <c r="D118" s="13"/>
      <c r="E118" s="11" t="s">
        <v>668</v>
      </c>
      <c r="F118" s="11" t="s">
        <v>28</v>
      </c>
      <c r="G118" s="14"/>
      <c r="H118" s="14">
        <v>42873</v>
      </c>
      <c r="I118" s="14">
        <v>43151</v>
      </c>
      <c r="J118" s="14">
        <v>43508</v>
      </c>
      <c r="K118" s="18" t="s">
        <v>620</v>
      </c>
      <c r="L118" s="14"/>
      <c r="M118" s="14"/>
      <c r="N118" s="14"/>
      <c r="O118" s="14">
        <f t="shared" si="2"/>
        <v>43871</v>
      </c>
      <c r="P118" s="14"/>
      <c r="Q118" s="13" t="s">
        <v>669</v>
      </c>
      <c r="R118" s="20"/>
    </row>
    <row r="119" spans="1:18" ht="17.25" customHeight="1" x14ac:dyDescent="0.7">
      <c r="A119" s="11">
        <v>115</v>
      </c>
      <c r="B119" s="12">
        <v>42411</v>
      </c>
      <c r="C119" s="13" t="s">
        <v>277</v>
      </c>
      <c r="D119" s="13"/>
      <c r="E119" s="11" t="s">
        <v>278</v>
      </c>
      <c r="F119" s="11" t="s">
        <v>28</v>
      </c>
      <c r="G119" s="14"/>
      <c r="H119" s="14">
        <v>42873</v>
      </c>
      <c r="I119" s="14">
        <v>43151</v>
      </c>
      <c r="J119" s="14">
        <v>43508</v>
      </c>
      <c r="K119" s="18" t="s">
        <v>620</v>
      </c>
      <c r="L119" s="14"/>
      <c r="M119" s="14"/>
      <c r="N119" s="14"/>
      <c r="O119" s="14">
        <f t="shared" si="2"/>
        <v>43871</v>
      </c>
      <c r="P119" s="14"/>
      <c r="Q119" s="13" t="s">
        <v>670</v>
      </c>
      <c r="R119" s="20">
        <v>10250</v>
      </c>
    </row>
    <row r="120" spans="1:18" ht="17.25" customHeight="1" x14ac:dyDescent="0.7">
      <c r="A120" s="11">
        <v>116</v>
      </c>
      <c r="B120" s="12">
        <v>42411</v>
      </c>
      <c r="C120" s="13" t="s">
        <v>475</v>
      </c>
      <c r="D120" s="13"/>
      <c r="E120" s="11"/>
      <c r="F120" s="11" t="s">
        <v>60</v>
      </c>
      <c r="G120" s="14"/>
      <c r="H120" s="14">
        <v>42795</v>
      </c>
      <c r="I120" s="15" t="s">
        <v>623</v>
      </c>
      <c r="J120" s="15" t="s">
        <v>623</v>
      </c>
      <c r="K120" s="18" t="s">
        <v>620</v>
      </c>
      <c r="L120" s="14"/>
      <c r="M120" s="14"/>
      <c r="N120" s="14"/>
      <c r="O120" s="14">
        <f t="shared" si="2"/>
        <v>43871</v>
      </c>
      <c r="P120" s="14"/>
      <c r="Q120" s="13" t="s">
        <v>671</v>
      </c>
      <c r="R120" s="20"/>
    </row>
    <row r="121" spans="1:18" ht="17.25" customHeight="1" x14ac:dyDescent="0.7">
      <c r="A121" s="11">
        <v>117</v>
      </c>
      <c r="B121" s="12">
        <v>42411</v>
      </c>
      <c r="C121" s="13" t="s">
        <v>333</v>
      </c>
      <c r="D121" s="13"/>
      <c r="E121" s="11" t="s">
        <v>335</v>
      </c>
      <c r="F121" s="11" t="s">
        <v>28</v>
      </c>
      <c r="G121" s="14"/>
      <c r="H121" s="14">
        <v>42846</v>
      </c>
      <c r="I121" s="15" t="s">
        <v>623</v>
      </c>
      <c r="J121" s="15" t="s">
        <v>623</v>
      </c>
      <c r="K121" s="18" t="s">
        <v>620</v>
      </c>
      <c r="L121" s="14">
        <v>44047</v>
      </c>
      <c r="M121" s="14"/>
      <c r="N121" s="14"/>
      <c r="O121" s="14">
        <f>+B121+1460+365</f>
        <v>44236</v>
      </c>
      <c r="P121" s="14"/>
      <c r="Q121" s="13"/>
      <c r="R121" s="20"/>
    </row>
    <row r="122" spans="1:18" ht="17.25" customHeight="1" x14ac:dyDescent="0.7">
      <c r="A122" s="11">
        <v>118</v>
      </c>
      <c r="B122" s="12">
        <v>42411</v>
      </c>
      <c r="C122" s="13" t="s">
        <v>672</v>
      </c>
      <c r="D122" s="13"/>
      <c r="E122" s="11" t="s">
        <v>279</v>
      </c>
      <c r="F122" s="11" t="s">
        <v>101</v>
      </c>
      <c r="G122" s="14"/>
      <c r="H122" s="14">
        <v>42767</v>
      </c>
      <c r="I122" s="14">
        <v>43139</v>
      </c>
      <c r="J122" s="14">
        <v>43503</v>
      </c>
      <c r="K122" s="18"/>
      <c r="L122" s="14">
        <v>43869</v>
      </c>
      <c r="M122" s="14"/>
      <c r="N122" s="14"/>
      <c r="O122" s="14">
        <f>+B122+1460+365</f>
        <v>44236</v>
      </c>
      <c r="P122" s="14"/>
      <c r="Q122" s="13"/>
      <c r="R122" s="20"/>
    </row>
    <row r="123" spans="1:18" ht="17.25" customHeight="1" x14ac:dyDescent="0.7">
      <c r="A123" s="11">
        <v>119</v>
      </c>
      <c r="B123" s="12">
        <v>42416</v>
      </c>
      <c r="C123" s="13" t="s">
        <v>476</v>
      </c>
      <c r="D123" s="13"/>
      <c r="E123" s="11" t="s">
        <v>477</v>
      </c>
      <c r="F123" s="11" t="s">
        <v>43</v>
      </c>
      <c r="G123" s="14"/>
      <c r="H123" s="14">
        <v>42645</v>
      </c>
      <c r="I123" s="15" t="s">
        <v>623</v>
      </c>
      <c r="J123" s="15" t="s">
        <v>623</v>
      </c>
      <c r="K123" s="18" t="s">
        <v>620</v>
      </c>
      <c r="L123" s="14"/>
      <c r="M123" s="14"/>
      <c r="N123" s="14"/>
      <c r="O123" s="14">
        <f t="shared" ref="O123:O129" si="3">+B123+1460</f>
        <v>43876</v>
      </c>
      <c r="P123" s="14"/>
      <c r="Q123" s="13"/>
      <c r="R123" s="20"/>
    </row>
    <row r="124" spans="1:18" ht="17.25" customHeight="1" x14ac:dyDescent="0.7">
      <c r="A124" s="11">
        <v>120</v>
      </c>
      <c r="B124" s="12">
        <v>42419</v>
      </c>
      <c r="C124" s="13" t="s">
        <v>478</v>
      </c>
      <c r="D124" s="13"/>
      <c r="E124" s="11"/>
      <c r="F124" s="11" t="s">
        <v>43</v>
      </c>
      <c r="G124" s="15"/>
      <c r="H124" s="15" t="s">
        <v>623</v>
      </c>
      <c r="I124" s="15" t="s">
        <v>623</v>
      </c>
      <c r="J124" s="15" t="s">
        <v>623</v>
      </c>
      <c r="K124" s="18" t="s">
        <v>620</v>
      </c>
      <c r="L124" s="15"/>
      <c r="M124" s="15"/>
      <c r="N124" s="15"/>
      <c r="O124" s="14">
        <f t="shared" si="3"/>
        <v>43879</v>
      </c>
      <c r="P124" s="14"/>
      <c r="Q124" s="13"/>
      <c r="R124" s="20"/>
    </row>
    <row r="125" spans="1:18" ht="17.25" customHeight="1" x14ac:dyDescent="0.7">
      <c r="A125" s="11">
        <v>121</v>
      </c>
      <c r="B125" s="12">
        <v>42419</v>
      </c>
      <c r="C125" s="13" t="s">
        <v>479</v>
      </c>
      <c r="D125" s="13"/>
      <c r="E125" s="11" t="s">
        <v>480</v>
      </c>
      <c r="F125" s="11" t="s">
        <v>60</v>
      </c>
      <c r="G125" s="15"/>
      <c r="H125" s="15" t="s">
        <v>623</v>
      </c>
      <c r="I125" s="15" t="s">
        <v>623</v>
      </c>
      <c r="J125" s="15" t="s">
        <v>623</v>
      </c>
      <c r="K125" s="18" t="s">
        <v>620</v>
      </c>
      <c r="L125" s="15"/>
      <c r="M125" s="15"/>
      <c r="N125" s="15"/>
      <c r="O125" s="14">
        <f t="shared" si="3"/>
        <v>43879</v>
      </c>
      <c r="P125" s="14"/>
      <c r="Q125" s="13" t="s">
        <v>673</v>
      </c>
      <c r="R125" s="20"/>
    </row>
    <row r="126" spans="1:18" ht="17.25" customHeight="1" x14ac:dyDescent="0.7">
      <c r="A126" s="11">
        <v>122</v>
      </c>
      <c r="B126" s="12">
        <v>42419</v>
      </c>
      <c r="C126" s="13" t="s">
        <v>481</v>
      </c>
      <c r="D126" s="13"/>
      <c r="E126" s="11" t="s">
        <v>482</v>
      </c>
      <c r="F126" s="11" t="s">
        <v>101</v>
      </c>
      <c r="G126" s="14"/>
      <c r="H126" s="14">
        <v>42795</v>
      </c>
      <c r="I126" s="14">
        <v>43167</v>
      </c>
      <c r="J126" s="14">
        <v>43509</v>
      </c>
      <c r="K126" s="18" t="s">
        <v>620</v>
      </c>
      <c r="L126" s="14"/>
      <c r="M126" s="14"/>
      <c r="N126" s="14"/>
      <c r="O126" s="14">
        <f t="shared" si="3"/>
        <v>43879</v>
      </c>
      <c r="P126" s="14"/>
      <c r="Q126" s="13"/>
      <c r="R126" s="20"/>
    </row>
    <row r="127" spans="1:18" ht="17.25" customHeight="1" x14ac:dyDescent="0.7">
      <c r="A127" s="11">
        <v>123</v>
      </c>
      <c r="B127" s="12">
        <v>42420</v>
      </c>
      <c r="C127" s="13" t="s">
        <v>62</v>
      </c>
      <c r="D127" s="13"/>
      <c r="E127" s="11" t="s">
        <v>64</v>
      </c>
      <c r="F127" s="11" t="s">
        <v>60</v>
      </c>
      <c r="G127" s="14"/>
      <c r="H127" s="14">
        <v>42564</v>
      </c>
      <c r="I127" s="14">
        <v>43447</v>
      </c>
      <c r="J127" s="15" t="s">
        <v>623</v>
      </c>
      <c r="K127" s="18" t="s">
        <v>620</v>
      </c>
      <c r="L127" s="14"/>
      <c r="M127" s="14"/>
      <c r="N127" s="14"/>
      <c r="O127" s="14">
        <f t="shared" si="3"/>
        <v>43880</v>
      </c>
      <c r="P127" s="14"/>
      <c r="Q127" s="13" t="s">
        <v>674</v>
      </c>
      <c r="R127" s="20">
        <v>10260</v>
      </c>
    </row>
    <row r="128" spans="1:18" ht="17.25" customHeight="1" x14ac:dyDescent="0.7">
      <c r="A128" s="11">
        <v>124</v>
      </c>
      <c r="B128" s="12">
        <v>42422</v>
      </c>
      <c r="C128" s="13" t="s">
        <v>483</v>
      </c>
      <c r="D128" s="13"/>
      <c r="E128" s="11" t="s">
        <v>484</v>
      </c>
      <c r="F128" s="11" t="s">
        <v>60</v>
      </c>
      <c r="G128" s="15"/>
      <c r="H128" s="15" t="s">
        <v>623</v>
      </c>
      <c r="I128" s="15" t="s">
        <v>623</v>
      </c>
      <c r="J128" s="15" t="s">
        <v>623</v>
      </c>
      <c r="K128" s="18" t="s">
        <v>620</v>
      </c>
      <c r="L128" s="15"/>
      <c r="M128" s="15"/>
      <c r="N128" s="15"/>
      <c r="O128" s="14">
        <f t="shared" si="3"/>
        <v>43882</v>
      </c>
      <c r="P128" s="14"/>
      <c r="Q128" s="13" t="s">
        <v>675</v>
      </c>
      <c r="R128" s="20">
        <v>10240</v>
      </c>
    </row>
    <row r="129" spans="1:18" ht="17.25" customHeight="1" x14ac:dyDescent="0.7">
      <c r="A129" s="11">
        <v>125</v>
      </c>
      <c r="B129" s="12">
        <v>42422</v>
      </c>
      <c r="C129" s="13" t="s">
        <v>485</v>
      </c>
      <c r="D129" s="13"/>
      <c r="E129" s="11"/>
      <c r="F129" s="11" t="s">
        <v>60</v>
      </c>
      <c r="G129" s="15"/>
      <c r="H129" s="15" t="s">
        <v>623</v>
      </c>
      <c r="I129" s="15" t="s">
        <v>623</v>
      </c>
      <c r="J129" s="15" t="s">
        <v>623</v>
      </c>
      <c r="K129" s="18" t="s">
        <v>620</v>
      </c>
      <c r="L129" s="15"/>
      <c r="M129" s="15"/>
      <c r="N129" s="15"/>
      <c r="O129" s="14">
        <f t="shared" si="3"/>
        <v>43882</v>
      </c>
      <c r="P129" s="14"/>
      <c r="Q129" s="13" t="s">
        <v>676</v>
      </c>
      <c r="R129" s="20">
        <v>10330</v>
      </c>
    </row>
    <row r="130" spans="1:18" ht="17.25" customHeight="1" x14ac:dyDescent="0.7">
      <c r="A130" s="11">
        <v>126</v>
      </c>
      <c r="B130" s="12">
        <v>42426</v>
      </c>
      <c r="C130" s="13" t="s">
        <v>292</v>
      </c>
      <c r="D130" s="13"/>
      <c r="E130" s="11"/>
      <c r="F130" s="11" t="s">
        <v>60</v>
      </c>
      <c r="G130" s="14"/>
      <c r="H130" s="14">
        <v>42877</v>
      </c>
      <c r="I130" s="15" t="s">
        <v>623</v>
      </c>
      <c r="J130" s="15" t="s">
        <v>623</v>
      </c>
      <c r="K130" s="18" t="s">
        <v>561</v>
      </c>
      <c r="L130" s="14"/>
      <c r="M130" s="14"/>
      <c r="N130" s="14"/>
      <c r="O130" s="15" t="s">
        <v>623</v>
      </c>
      <c r="P130" s="15"/>
      <c r="Q130" s="13"/>
      <c r="R130" s="20"/>
    </row>
    <row r="131" spans="1:18" ht="17.25" customHeight="1" x14ac:dyDescent="0.7">
      <c r="A131" s="11">
        <v>127</v>
      </c>
      <c r="B131" s="12">
        <v>42426</v>
      </c>
      <c r="C131" s="13" t="s">
        <v>66</v>
      </c>
      <c r="D131" s="13"/>
      <c r="E131" s="11" t="s">
        <v>68</v>
      </c>
      <c r="F131" s="11" t="s">
        <v>60</v>
      </c>
      <c r="G131" s="14"/>
      <c r="H131" s="14">
        <v>42795</v>
      </c>
      <c r="I131" s="14">
        <v>43172</v>
      </c>
      <c r="J131" s="14">
        <v>43496</v>
      </c>
      <c r="K131" s="18"/>
      <c r="L131" s="14">
        <v>43882</v>
      </c>
      <c r="M131" s="14"/>
      <c r="N131" s="14"/>
      <c r="O131" s="14">
        <f>+B131+1460+365</f>
        <v>44251</v>
      </c>
      <c r="P131" s="14"/>
      <c r="Q131" s="13"/>
      <c r="R131" s="20"/>
    </row>
    <row r="132" spans="1:18" ht="17.25" customHeight="1" x14ac:dyDescent="0.7">
      <c r="A132" s="11">
        <v>128</v>
      </c>
      <c r="B132" s="12">
        <v>42429</v>
      </c>
      <c r="C132" s="13" t="s">
        <v>70</v>
      </c>
      <c r="D132" s="13"/>
      <c r="E132" s="11" t="s">
        <v>72</v>
      </c>
      <c r="F132" s="11">
        <v>1</v>
      </c>
      <c r="G132" s="14"/>
      <c r="H132" s="14">
        <v>42807</v>
      </c>
      <c r="I132" s="14">
        <v>43146</v>
      </c>
      <c r="J132" s="14">
        <v>43508</v>
      </c>
      <c r="K132" s="18"/>
      <c r="L132" s="14">
        <v>43868</v>
      </c>
      <c r="M132" s="14"/>
      <c r="N132" s="14"/>
      <c r="O132" s="14">
        <f>+B132+1460+365</f>
        <v>44254</v>
      </c>
      <c r="P132" s="14"/>
      <c r="Q132" s="13"/>
      <c r="R132" s="20"/>
    </row>
    <row r="133" spans="1:18" ht="17.25" customHeight="1" x14ac:dyDescent="0.7">
      <c r="A133" s="11">
        <v>129</v>
      </c>
      <c r="B133" s="12">
        <v>42429</v>
      </c>
      <c r="C133" s="13" t="s">
        <v>74</v>
      </c>
      <c r="D133" s="13"/>
      <c r="E133" s="11" t="s">
        <v>75</v>
      </c>
      <c r="F133" s="11">
        <v>1</v>
      </c>
      <c r="G133" s="14"/>
      <c r="H133" s="14">
        <v>42807</v>
      </c>
      <c r="I133" s="14">
        <v>43146</v>
      </c>
      <c r="J133" s="14">
        <v>43508</v>
      </c>
      <c r="K133" s="18"/>
      <c r="L133" s="14">
        <v>43868</v>
      </c>
      <c r="M133" s="14"/>
      <c r="N133" s="14"/>
      <c r="O133" s="14">
        <f>+B133+1460+365</f>
        <v>44254</v>
      </c>
      <c r="P133" s="14"/>
      <c r="Q133" s="13"/>
      <c r="R133" s="20"/>
    </row>
    <row r="134" spans="1:18" ht="17.25" customHeight="1" x14ac:dyDescent="0.7">
      <c r="A134" s="11">
        <v>130</v>
      </c>
      <c r="B134" s="12">
        <v>42429</v>
      </c>
      <c r="C134" s="13" t="s">
        <v>677</v>
      </c>
      <c r="D134" s="13"/>
      <c r="E134" s="11" t="s">
        <v>78</v>
      </c>
      <c r="F134" s="11">
        <v>1</v>
      </c>
      <c r="G134" s="14"/>
      <c r="H134" s="14">
        <v>42807</v>
      </c>
      <c r="I134" s="15" t="s">
        <v>623</v>
      </c>
      <c r="J134" s="14">
        <v>43676</v>
      </c>
      <c r="K134" s="18"/>
      <c r="L134" s="14">
        <v>43870</v>
      </c>
      <c r="M134" s="14">
        <v>44037</v>
      </c>
      <c r="N134" s="14"/>
      <c r="O134" s="14">
        <f>+B134+1460+365+365</f>
        <v>44619</v>
      </c>
      <c r="P134" s="14"/>
      <c r="Q134" s="13"/>
      <c r="R134" s="20"/>
    </row>
    <row r="135" spans="1:18" ht="17.25" customHeight="1" x14ac:dyDescent="0.7">
      <c r="A135" s="11">
        <v>131</v>
      </c>
      <c r="B135" s="12">
        <v>42431</v>
      </c>
      <c r="C135" s="13" t="s">
        <v>486</v>
      </c>
      <c r="D135" s="13"/>
      <c r="E135" s="11" t="s">
        <v>487</v>
      </c>
      <c r="F135" s="11" t="s">
        <v>336</v>
      </c>
      <c r="G135" s="14"/>
      <c r="H135" s="14">
        <v>42872</v>
      </c>
      <c r="I135" s="14">
        <v>43185</v>
      </c>
      <c r="J135" s="14">
        <v>43573</v>
      </c>
      <c r="K135" s="18" t="s">
        <v>620</v>
      </c>
      <c r="L135" s="14"/>
      <c r="M135" s="14"/>
      <c r="N135" s="14"/>
      <c r="O135" s="14">
        <f>+B135+1460</f>
        <v>43891</v>
      </c>
      <c r="P135" s="14"/>
      <c r="Q135" s="13"/>
      <c r="R135" s="20"/>
    </row>
    <row r="136" spans="1:18" ht="17.25" customHeight="1" x14ac:dyDescent="0.7">
      <c r="A136" s="11">
        <v>132</v>
      </c>
      <c r="B136" s="12">
        <v>42432</v>
      </c>
      <c r="C136" s="13" t="s">
        <v>489</v>
      </c>
      <c r="D136" s="13"/>
      <c r="E136" s="11"/>
      <c r="F136" s="11" t="s">
        <v>488</v>
      </c>
      <c r="G136" s="15"/>
      <c r="H136" s="15" t="s">
        <v>623</v>
      </c>
      <c r="I136" s="15" t="s">
        <v>623</v>
      </c>
      <c r="J136" s="15" t="s">
        <v>623</v>
      </c>
      <c r="K136" s="18" t="s">
        <v>620</v>
      </c>
      <c r="L136" s="15"/>
      <c r="M136" s="15"/>
      <c r="N136" s="15"/>
      <c r="O136" s="14">
        <f>+B136+1460</f>
        <v>43892</v>
      </c>
      <c r="P136" s="14"/>
      <c r="Q136" s="13"/>
      <c r="R136" s="20"/>
    </row>
    <row r="137" spans="1:18" ht="17.25" customHeight="1" x14ac:dyDescent="0.7">
      <c r="A137" s="11">
        <v>133</v>
      </c>
      <c r="B137" s="12">
        <v>42434</v>
      </c>
      <c r="C137" s="13" t="s">
        <v>490</v>
      </c>
      <c r="D137" s="13"/>
      <c r="E137" s="11" t="s">
        <v>491</v>
      </c>
      <c r="F137" s="11" t="s">
        <v>101</v>
      </c>
      <c r="G137" s="14"/>
      <c r="H137" s="15" t="s">
        <v>623</v>
      </c>
      <c r="I137" s="15" t="s">
        <v>623</v>
      </c>
      <c r="J137" s="15" t="s">
        <v>623</v>
      </c>
      <c r="K137" s="18" t="s">
        <v>620</v>
      </c>
      <c r="L137" s="15"/>
      <c r="M137" s="15"/>
      <c r="N137" s="15"/>
      <c r="O137" s="14">
        <f>+B137+1460</f>
        <v>43894</v>
      </c>
      <c r="P137" s="14"/>
      <c r="Q137" s="13"/>
      <c r="R137" s="20"/>
    </row>
    <row r="138" spans="1:18" ht="17.25" customHeight="1" x14ac:dyDescent="0.7">
      <c r="A138" s="11">
        <v>134</v>
      </c>
      <c r="B138" s="12">
        <v>42434</v>
      </c>
      <c r="C138" s="13" t="s">
        <v>678</v>
      </c>
      <c r="D138" s="13"/>
      <c r="E138" s="11"/>
      <c r="F138" s="11">
        <v>1</v>
      </c>
      <c r="G138" s="14"/>
      <c r="H138" s="14">
        <v>42889</v>
      </c>
      <c r="I138" s="15" t="s">
        <v>623</v>
      </c>
      <c r="J138" s="15" t="s">
        <v>623</v>
      </c>
      <c r="K138" s="18" t="s">
        <v>620</v>
      </c>
      <c r="L138" s="14">
        <v>44176</v>
      </c>
      <c r="M138" s="14"/>
      <c r="N138" s="14"/>
      <c r="O138" s="14">
        <f>+B138+1460+365</f>
        <v>44259</v>
      </c>
      <c r="P138" s="14"/>
      <c r="Q138" s="13"/>
      <c r="R138" s="20"/>
    </row>
    <row r="139" spans="1:18" ht="17.25" customHeight="1" x14ac:dyDescent="0.7">
      <c r="A139" s="11">
        <v>135</v>
      </c>
      <c r="B139" s="12">
        <v>42435</v>
      </c>
      <c r="C139" s="13" t="s">
        <v>338</v>
      </c>
      <c r="D139" s="13"/>
      <c r="E139" s="11" t="s">
        <v>340</v>
      </c>
      <c r="F139" s="11" t="s">
        <v>336</v>
      </c>
      <c r="G139" s="14"/>
      <c r="H139" s="14">
        <v>42815</v>
      </c>
      <c r="I139" s="14">
        <v>43168</v>
      </c>
      <c r="J139" s="14">
        <v>43626</v>
      </c>
      <c r="K139" s="18"/>
      <c r="L139" s="14">
        <v>43936</v>
      </c>
      <c r="M139" s="14"/>
      <c r="N139" s="14"/>
      <c r="O139" s="14">
        <f>+B139+1460+365</f>
        <v>44260</v>
      </c>
      <c r="P139" s="14"/>
      <c r="Q139" s="13"/>
      <c r="R139" s="20"/>
    </row>
    <row r="140" spans="1:18" ht="17.25" customHeight="1" x14ac:dyDescent="0.7">
      <c r="A140" s="11">
        <v>136</v>
      </c>
      <c r="B140" s="12">
        <v>42438</v>
      </c>
      <c r="C140" s="13" t="s">
        <v>83</v>
      </c>
      <c r="D140" s="13"/>
      <c r="E140" s="11" t="s">
        <v>85</v>
      </c>
      <c r="F140" s="11" t="s">
        <v>12</v>
      </c>
      <c r="G140" s="15"/>
      <c r="H140" s="15" t="s">
        <v>623</v>
      </c>
      <c r="I140" s="15" t="s">
        <v>623</v>
      </c>
      <c r="J140" s="14">
        <v>43637</v>
      </c>
      <c r="K140" s="18">
        <v>37</v>
      </c>
      <c r="L140" s="14"/>
      <c r="M140" s="14"/>
      <c r="N140" s="14"/>
      <c r="O140" s="14">
        <f>+B140+1460</f>
        <v>43898</v>
      </c>
      <c r="P140" s="14"/>
      <c r="Q140" s="13"/>
      <c r="R140" s="20"/>
    </row>
    <row r="141" spans="1:18" ht="17.25" customHeight="1" x14ac:dyDescent="0.7">
      <c r="A141" s="11">
        <v>137</v>
      </c>
      <c r="B141" s="12">
        <v>42442</v>
      </c>
      <c r="C141" s="13" t="s">
        <v>679</v>
      </c>
      <c r="D141" s="13" t="s">
        <v>492</v>
      </c>
      <c r="E141" s="11" t="s">
        <v>493</v>
      </c>
      <c r="F141" s="11" t="s">
        <v>215</v>
      </c>
      <c r="G141" s="15"/>
      <c r="H141" s="15" t="s">
        <v>623</v>
      </c>
      <c r="I141" s="15" t="s">
        <v>623</v>
      </c>
      <c r="J141" s="14">
        <v>43652</v>
      </c>
      <c r="K141" s="18">
        <v>38</v>
      </c>
      <c r="L141" s="15"/>
      <c r="M141" s="15"/>
      <c r="N141" s="15"/>
      <c r="O141" s="14">
        <f>+B141+1460</f>
        <v>43902</v>
      </c>
      <c r="P141" s="14"/>
      <c r="Q141" s="13"/>
      <c r="R141" s="20"/>
    </row>
    <row r="142" spans="1:18" ht="17.25" customHeight="1" x14ac:dyDescent="0.7">
      <c r="A142" s="11">
        <v>138</v>
      </c>
      <c r="B142" s="12">
        <v>42442</v>
      </c>
      <c r="C142" s="13" t="s">
        <v>87</v>
      </c>
      <c r="D142" s="13"/>
      <c r="E142" s="11" t="s">
        <v>89</v>
      </c>
      <c r="F142" s="11" t="s">
        <v>12</v>
      </c>
      <c r="G142" s="14"/>
      <c r="H142" s="14">
        <v>42818</v>
      </c>
      <c r="I142" s="14">
        <v>43181</v>
      </c>
      <c r="J142" s="14">
        <v>43652</v>
      </c>
      <c r="K142" s="18"/>
      <c r="L142" s="14">
        <v>44014</v>
      </c>
      <c r="M142" s="14"/>
      <c r="N142" s="14"/>
      <c r="O142" s="14">
        <f>+B142+1460+365</f>
        <v>44267</v>
      </c>
      <c r="P142" s="14"/>
      <c r="Q142" s="13"/>
      <c r="R142" s="20"/>
    </row>
    <row r="143" spans="1:18" ht="17.25" customHeight="1" x14ac:dyDescent="0.7">
      <c r="A143" s="11">
        <v>139</v>
      </c>
      <c r="B143" s="12">
        <v>42442</v>
      </c>
      <c r="C143" s="13" t="s">
        <v>91</v>
      </c>
      <c r="D143" s="13"/>
      <c r="E143" s="11" t="s">
        <v>92</v>
      </c>
      <c r="F143" s="11">
        <v>1</v>
      </c>
      <c r="G143" s="14"/>
      <c r="H143" s="14">
        <v>42802</v>
      </c>
      <c r="I143" s="14">
        <v>43149</v>
      </c>
      <c r="J143" s="14">
        <v>43525</v>
      </c>
      <c r="K143" s="18"/>
      <c r="L143" s="14">
        <v>43908</v>
      </c>
      <c r="M143" s="14"/>
      <c r="N143" s="14"/>
      <c r="O143" s="14">
        <f>+B143+1460+365</f>
        <v>44267</v>
      </c>
      <c r="P143" s="14"/>
      <c r="Q143" s="13"/>
      <c r="R143" s="20"/>
    </row>
    <row r="144" spans="1:18" ht="17.25" customHeight="1" x14ac:dyDescent="0.7">
      <c r="A144" s="11">
        <v>140</v>
      </c>
      <c r="B144" s="12">
        <v>42442</v>
      </c>
      <c r="C144" s="13" t="s">
        <v>328</v>
      </c>
      <c r="D144" s="13"/>
      <c r="E144" s="11" t="s">
        <v>329</v>
      </c>
      <c r="F144" s="11" t="s">
        <v>28</v>
      </c>
      <c r="G144" s="15"/>
      <c r="H144" s="15" t="s">
        <v>623</v>
      </c>
      <c r="I144" s="15" t="s">
        <v>623</v>
      </c>
      <c r="J144" s="15" t="s">
        <v>623</v>
      </c>
      <c r="K144" s="18" t="s">
        <v>620</v>
      </c>
      <c r="L144" s="15"/>
      <c r="M144" s="15"/>
      <c r="N144" s="15"/>
      <c r="O144" s="14">
        <f>+B144+1460</f>
        <v>43902</v>
      </c>
      <c r="P144" s="14"/>
      <c r="Q144" s="13"/>
      <c r="R144" s="20"/>
    </row>
    <row r="145" spans="1:20" ht="17.25" customHeight="1" x14ac:dyDescent="0.7">
      <c r="A145" s="11">
        <v>141</v>
      </c>
      <c r="B145" s="12">
        <v>42442</v>
      </c>
      <c r="C145" s="13" t="s">
        <v>494</v>
      </c>
      <c r="D145" s="13"/>
      <c r="E145" s="11" t="s">
        <v>495</v>
      </c>
      <c r="F145" s="11" t="s">
        <v>324</v>
      </c>
      <c r="G145" s="15"/>
      <c r="H145" s="15" t="s">
        <v>623</v>
      </c>
      <c r="I145" s="15" t="s">
        <v>623</v>
      </c>
      <c r="J145" s="15" t="s">
        <v>623</v>
      </c>
      <c r="K145" s="18" t="s">
        <v>620</v>
      </c>
      <c r="L145" s="15"/>
      <c r="M145" s="15"/>
      <c r="N145" s="15"/>
      <c r="O145" s="14">
        <f>+B145+1460</f>
        <v>43902</v>
      </c>
      <c r="P145" s="14"/>
      <c r="Q145" s="13" t="s">
        <v>680</v>
      </c>
      <c r="R145" s="20">
        <v>12130</v>
      </c>
    </row>
    <row r="146" spans="1:20" ht="17.25" customHeight="1" x14ac:dyDescent="0.7">
      <c r="A146" s="11">
        <v>142</v>
      </c>
      <c r="B146" s="12">
        <v>42442</v>
      </c>
      <c r="C146" s="13" t="s">
        <v>327</v>
      </c>
      <c r="D146" s="13"/>
      <c r="E146" s="11" t="s">
        <v>496</v>
      </c>
      <c r="F146" s="11" t="s">
        <v>324</v>
      </c>
      <c r="G146" s="15"/>
      <c r="H146" s="15" t="s">
        <v>623</v>
      </c>
      <c r="I146" s="15" t="s">
        <v>623</v>
      </c>
      <c r="J146" s="15" t="s">
        <v>623</v>
      </c>
      <c r="K146" s="18" t="s">
        <v>620</v>
      </c>
      <c r="L146" s="15"/>
      <c r="M146" s="15"/>
      <c r="N146" s="15"/>
      <c r="O146" s="14">
        <f>+B146+1460</f>
        <v>43902</v>
      </c>
      <c r="P146" s="14"/>
      <c r="Q146" s="13" t="s">
        <v>681</v>
      </c>
      <c r="R146" s="20"/>
    </row>
    <row r="147" spans="1:20" ht="17.25" customHeight="1" x14ac:dyDescent="0.7">
      <c r="A147" s="11">
        <v>143</v>
      </c>
      <c r="B147" s="12">
        <v>42442</v>
      </c>
      <c r="C147" s="13" t="s">
        <v>94</v>
      </c>
      <c r="D147" s="13"/>
      <c r="E147" s="11" t="s">
        <v>95</v>
      </c>
      <c r="F147" s="11" t="s">
        <v>43</v>
      </c>
      <c r="G147" s="14"/>
      <c r="H147" s="14">
        <v>42844</v>
      </c>
      <c r="I147" s="14">
        <v>43199</v>
      </c>
      <c r="J147" s="14">
        <v>43576</v>
      </c>
      <c r="K147" s="18"/>
      <c r="L147" s="14">
        <v>43973</v>
      </c>
      <c r="M147" s="14"/>
      <c r="N147" s="14"/>
      <c r="O147" s="14">
        <f>+B147+1460+365</f>
        <v>44267</v>
      </c>
      <c r="P147" s="14"/>
      <c r="Q147" s="13"/>
      <c r="R147" s="20"/>
    </row>
    <row r="148" spans="1:20" ht="17.25" customHeight="1" x14ac:dyDescent="0.7">
      <c r="A148" s="11">
        <v>144</v>
      </c>
      <c r="B148" s="12">
        <v>42464</v>
      </c>
      <c r="C148" s="13" t="s">
        <v>497</v>
      </c>
      <c r="D148" s="13"/>
      <c r="E148" s="11" t="s">
        <v>498</v>
      </c>
      <c r="F148" s="11" t="s">
        <v>311</v>
      </c>
      <c r="G148" s="14"/>
      <c r="H148" s="15" t="s">
        <v>623</v>
      </c>
      <c r="I148" s="14">
        <v>43172</v>
      </c>
      <c r="J148" s="15" t="s">
        <v>623</v>
      </c>
      <c r="K148" s="18" t="s">
        <v>620</v>
      </c>
      <c r="L148" s="14"/>
      <c r="M148" s="14"/>
      <c r="N148" s="14"/>
      <c r="O148" s="14">
        <f>+B148+1460</f>
        <v>43924</v>
      </c>
      <c r="P148" s="14"/>
      <c r="Q148" s="13"/>
      <c r="R148" s="20"/>
    </row>
    <row r="149" spans="1:20" ht="17.25" customHeight="1" x14ac:dyDescent="0.7">
      <c r="A149" s="11">
        <v>145</v>
      </c>
      <c r="B149" s="12">
        <v>42465</v>
      </c>
      <c r="C149" s="13" t="s">
        <v>112</v>
      </c>
      <c r="D149" s="13"/>
      <c r="E149" s="11" t="s">
        <v>114</v>
      </c>
      <c r="F149" s="11" t="s">
        <v>110</v>
      </c>
      <c r="G149" s="14"/>
      <c r="H149" s="14">
        <v>42882</v>
      </c>
      <c r="I149" s="14">
        <v>43246</v>
      </c>
      <c r="J149" s="14">
        <v>43478</v>
      </c>
      <c r="K149" s="18"/>
      <c r="L149" s="14">
        <v>43969</v>
      </c>
      <c r="M149" s="14"/>
      <c r="N149" s="14"/>
      <c r="O149" s="14">
        <f>+B149+1460+365</f>
        <v>44290</v>
      </c>
      <c r="P149" s="14"/>
      <c r="Q149" s="13"/>
      <c r="R149" s="20"/>
      <c r="S149" s="26"/>
    </row>
    <row r="150" spans="1:20" ht="17.25" customHeight="1" x14ac:dyDescent="0.7">
      <c r="A150" s="11">
        <v>146</v>
      </c>
      <c r="B150" s="12">
        <v>42482</v>
      </c>
      <c r="C150" s="13" t="s">
        <v>499</v>
      </c>
      <c r="D150" s="13"/>
      <c r="E150" s="11" t="s">
        <v>500</v>
      </c>
      <c r="F150" s="11">
        <v>1</v>
      </c>
      <c r="G150" s="15"/>
      <c r="H150" s="15" t="s">
        <v>623</v>
      </c>
      <c r="I150" s="15" t="s">
        <v>623</v>
      </c>
      <c r="J150" s="15" t="s">
        <v>623</v>
      </c>
      <c r="K150" s="18" t="s">
        <v>620</v>
      </c>
      <c r="L150" s="15"/>
      <c r="M150" s="15"/>
      <c r="N150" s="15"/>
      <c r="O150" s="14">
        <f>+B150+1460</f>
        <v>43942</v>
      </c>
      <c r="P150" s="14"/>
      <c r="Q150" s="13" t="s">
        <v>682</v>
      </c>
      <c r="R150" s="20">
        <v>10130</v>
      </c>
    </row>
    <row r="151" spans="1:20" ht="17.25" customHeight="1" x14ac:dyDescent="0.7">
      <c r="A151" s="11">
        <v>147</v>
      </c>
      <c r="B151" s="12">
        <v>42483</v>
      </c>
      <c r="C151" s="13" t="s">
        <v>115</v>
      </c>
      <c r="D151" s="13"/>
      <c r="E151" s="11" t="s">
        <v>116</v>
      </c>
      <c r="F151" s="11">
        <v>1</v>
      </c>
      <c r="G151" s="14"/>
      <c r="H151" s="14">
        <v>42848</v>
      </c>
      <c r="I151" s="14">
        <v>43266</v>
      </c>
      <c r="J151" s="14">
        <v>43816</v>
      </c>
      <c r="K151" s="18"/>
      <c r="L151" s="14">
        <v>44012</v>
      </c>
      <c r="M151" s="14"/>
      <c r="N151" s="14"/>
      <c r="O151" s="14">
        <f>+B151+1460+365</f>
        <v>44308</v>
      </c>
      <c r="P151" s="14"/>
      <c r="Q151" s="13"/>
      <c r="R151" s="20"/>
    </row>
    <row r="152" spans="1:20" ht="17.25" customHeight="1" x14ac:dyDescent="0.7">
      <c r="A152" s="11">
        <v>148</v>
      </c>
      <c r="B152" s="12">
        <v>42485</v>
      </c>
      <c r="C152" s="13" t="s">
        <v>118</v>
      </c>
      <c r="D152" s="13"/>
      <c r="E152" s="11" t="s">
        <v>120</v>
      </c>
      <c r="F152" s="11">
        <v>1</v>
      </c>
      <c r="G152" s="14"/>
      <c r="H152" s="14">
        <v>42912</v>
      </c>
      <c r="I152" s="14">
        <v>43297</v>
      </c>
      <c r="J152" s="14"/>
      <c r="K152" s="18"/>
      <c r="L152" s="14">
        <v>43966</v>
      </c>
      <c r="M152" s="14"/>
      <c r="N152" s="14"/>
      <c r="O152" s="14">
        <f>+B152+1460+365</f>
        <v>44310</v>
      </c>
      <c r="P152" s="14"/>
      <c r="Q152" s="13"/>
      <c r="R152" s="20"/>
    </row>
    <row r="153" spans="1:20" ht="17.25" customHeight="1" x14ac:dyDescent="0.7">
      <c r="A153" s="11">
        <v>149</v>
      </c>
      <c r="B153" s="12">
        <v>42485</v>
      </c>
      <c r="C153" s="13" t="s">
        <v>122</v>
      </c>
      <c r="D153" s="13"/>
      <c r="E153" s="11" t="s">
        <v>123</v>
      </c>
      <c r="F153" s="11">
        <v>1</v>
      </c>
      <c r="G153" s="14"/>
      <c r="H153" s="14">
        <v>42848</v>
      </c>
      <c r="I153" s="14">
        <v>43267</v>
      </c>
      <c r="J153" s="14">
        <v>43635</v>
      </c>
      <c r="K153" s="18"/>
      <c r="L153" s="14">
        <v>43945</v>
      </c>
      <c r="M153" s="14"/>
      <c r="N153" s="14"/>
      <c r="O153" s="14">
        <f>+B153+1460+365</f>
        <v>44310</v>
      </c>
      <c r="P153" s="14"/>
      <c r="Q153" s="13" t="s">
        <v>683</v>
      </c>
      <c r="R153" s="20">
        <v>10260</v>
      </c>
    </row>
    <row r="154" spans="1:20" ht="17.25" customHeight="1" x14ac:dyDescent="0.7">
      <c r="A154" s="11">
        <v>150</v>
      </c>
      <c r="B154" s="12">
        <v>42494</v>
      </c>
      <c r="C154" s="13" t="s">
        <v>501</v>
      </c>
      <c r="D154" s="13"/>
      <c r="E154" s="11" t="s">
        <v>502</v>
      </c>
      <c r="F154" s="11" t="s">
        <v>51</v>
      </c>
      <c r="G154" s="15"/>
      <c r="H154" s="15" t="s">
        <v>623</v>
      </c>
      <c r="I154" s="15" t="s">
        <v>623</v>
      </c>
      <c r="J154" s="15" t="s">
        <v>623</v>
      </c>
      <c r="K154" s="18" t="s">
        <v>620</v>
      </c>
      <c r="L154" s="15"/>
      <c r="M154" s="15"/>
      <c r="N154" s="15"/>
      <c r="O154" s="14">
        <f>+B154+1460</f>
        <v>43954</v>
      </c>
      <c r="P154" s="14"/>
      <c r="Q154" s="13"/>
      <c r="R154" s="20"/>
    </row>
    <row r="155" spans="1:20" ht="17.25" customHeight="1" x14ac:dyDescent="0.7">
      <c r="A155" s="11">
        <v>151</v>
      </c>
      <c r="B155" s="12">
        <v>42505</v>
      </c>
      <c r="C155" s="23" t="s">
        <v>684</v>
      </c>
      <c r="D155" s="13"/>
      <c r="E155" s="11" t="s">
        <v>503</v>
      </c>
      <c r="F155" s="11" t="s">
        <v>324</v>
      </c>
      <c r="G155" s="15"/>
      <c r="H155" s="15" t="s">
        <v>623</v>
      </c>
      <c r="I155" s="15" t="s">
        <v>623</v>
      </c>
      <c r="J155" s="15" t="s">
        <v>623</v>
      </c>
      <c r="K155" s="18" t="s">
        <v>620</v>
      </c>
      <c r="L155" s="15"/>
      <c r="M155" s="15"/>
      <c r="N155" s="15"/>
      <c r="O155" s="14">
        <f>+B155+1460</f>
        <v>43965</v>
      </c>
      <c r="P155" s="14"/>
      <c r="Q155" s="13"/>
      <c r="R155" s="20"/>
      <c r="T155" s="1"/>
    </row>
    <row r="156" spans="1:20" ht="17.25" customHeight="1" x14ac:dyDescent="0.7">
      <c r="A156" s="11">
        <v>152</v>
      </c>
      <c r="B156" s="12">
        <v>42506</v>
      </c>
      <c r="C156" s="13" t="s">
        <v>504</v>
      </c>
      <c r="D156" s="13"/>
      <c r="E156" s="11" t="s">
        <v>505</v>
      </c>
      <c r="F156" s="11" t="s">
        <v>60</v>
      </c>
      <c r="G156" s="15"/>
      <c r="H156" s="15" t="s">
        <v>623</v>
      </c>
      <c r="I156" s="15" t="s">
        <v>623</v>
      </c>
      <c r="J156" s="15" t="s">
        <v>623</v>
      </c>
      <c r="K156" s="18" t="s">
        <v>620</v>
      </c>
      <c r="L156" s="15"/>
      <c r="M156" s="15"/>
      <c r="N156" s="15"/>
      <c r="O156" s="14">
        <f>+B156+1460</f>
        <v>43966</v>
      </c>
      <c r="P156" s="14"/>
      <c r="Q156" s="13"/>
      <c r="R156" s="20"/>
    </row>
    <row r="157" spans="1:20" ht="17.25" customHeight="1" x14ac:dyDescent="0.7">
      <c r="A157" s="11">
        <v>153</v>
      </c>
      <c r="B157" s="12">
        <v>42508</v>
      </c>
      <c r="C157" s="13" t="s">
        <v>685</v>
      </c>
      <c r="D157" s="13" t="s">
        <v>686</v>
      </c>
      <c r="E157" s="11" t="s">
        <v>129</v>
      </c>
      <c r="F157" s="11">
        <v>1</v>
      </c>
      <c r="G157" s="14"/>
      <c r="H157" s="14">
        <v>42873</v>
      </c>
      <c r="I157" s="14">
        <v>43238</v>
      </c>
      <c r="J157" s="14">
        <v>43671</v>
      </c>
      <c r="K157" s="18"/>
      <c r="L157" s="14">
        <v>43671</v>
      </c>
      <c r="M157" s="14"/>
      <c r="N157" s="14"/>
      <c r="O157" s="14">
        <f>+B157+1460+365</f>
        <v>44333</v>
      </c>
      <c r="P157" s="14"/>
      <c r="Q157" s="13"/>
      <c r="R157" s="20"/>
    </row>
    <row r="158" spans="1:20" ht="17.25" customHeight="1" x14ac:dyDescent="0.7">
      <c r="A158" s="11">
        <v>154</v>
      </c>
      <c r="B158" s="12">
        <v>42508</v>
      </c>
      <c r="C158" s="13" t="s">
        <v>131</v>
      </c>
      <c r="D158" s="13"/>
      <c r="E158" s="11" t="s">
        <v>132</v>
      </c>
      <c r="F158" s="11">
        <v>1</v>
      </c>
      <c r="G158" s="14"/>
      <c r="H158" s="14">
        <v>42843</v>
      </c>
      <c r="I158" s="14">
        <v>43199</v>
      </c>
      <c r="J158" s="14">
        <v>43654</v>
      </c>
      <c r="K158" s="18"/>
      <c r="L158" s="14">
        <v>43962</v>
      </c>
      <c r="M158" s="14"/>
      <c r="N158" s="14"/>
      <c r="O158" s="14">
        <f>+B158+1460+365</f>
        <v>44333</v>
      </c>
      <c r="P158" s="14"/>
      <c r="Q158" s="13"/>
      <c r="R158" s="20"/>
    </row>
    <row r="159" spans="1:20" ht="17.25" customHeight="1" x14ac:dyDescent="0.7">
      <c r="A159" s="11">
        <v>155</v>
      </c>
      <c r="B159" s="12">
        <v>42509</v>
      </c>
      <c r="C159" s="13" t="s">
        <v>687</v>
      </c>
      <c r="D159" s="13"/>
      <c r="E159" s="11" t="s">
        <v>136</v>
      </c>
      <c r="F159" s="11">
        <v>1</v>
      </c>
      <c r="G159" s="14"/>
      <c r="H159" s="14">
        <v>42930</v>
      </c>
      <c r="I159" s="14">
        <v>43199</v>
      </c>
      <c r="J159" s="14">
        <v>43654</v>
      </c>
      <c r="K159" s="18"/>
      <c r="L159" s="14">
        <v>43962</v>
      </c>
      <c r="M159" s="14"/>
      <c r="N159" s="14"/>
      <c r="O159" s="14">
        <f>+B159+1460+365</f>
        <v>44334</v>
      </c>
      <c r="P159" s="14"/>
      <c r="Q159" s="13"/>
      <c r="R159" s="20"/>
    </row>
    <row r="160" spans="1:20" ht="17.25" customHeight="1" x14ac:dyDescent="0.7">
      <c r="A160" s="11">
        <v>156</v>
      </c>
      <c r="B160" s="12">
        <v>42510</v>
      </c>
      <c r="C160" s="13" t="s">
        <v>139</v>
      </c>
      <c r="D160" s="13"/>
      <c r="E160" s="11" t="s">
        <v>141</v>
      </c>
      <c r="F160" s="11" t="s">
        <v>137</v>
      </c>
      <c r="G160" s="14"/>
      <c r="H160" s="15" t="s">
        <v>623</v>
      </c>
      <c r="I160" s="15" t="s">
        <v>623</v>
      </c>
      <c r="J160" s="14">
        <v>43647</v>
      </c>
      <c r="K160" s="18"/>
      <c r="L160" s="15"/>
      <c r="M160" s="15"/>
      <c r="N160" s="15"/>
      <c r="O160" s="14">
        <f>+B160+1460</f>
        <v>43970</v>
      </c>
      <c r="P160" s="14"/>
      <c r="Q160" s="13"/>
      <c r="R160" s="20"/>
    </row>
    <row r="161" spans="1:18" ht="17.25" customHeight="1" x14ac:dyDescent="0.7">
      <c r="A161" s="11">
        <v>157</v>
      </c>
      <c r="B161" s="12">
        <v>42510</v>
      </c>
      <c r="C161" s="13" t="s">
        <v>143</v>
      </c>
      <c r="D161" s="13"/>
      <c r="E161" s="11" t="s">
        <v>144</v>
      </c>
      <c r="F161" s="11" t="s">
        <v>137</v>
      </c>
      <c r="G161" s="14"/>
      <c r="H161" s="15" t="s">
        <v>623</v>
      </c>
      <c r="I161" s="15" t="s">
        <v>623</v>
      </c>
      <c r="J161" s="14">
        <v>43647</v>
      </c>
      <c r="K161" s="18"/>
      <c r="L161" s="15"/>
      <c r="M161" s="15"/>
      <c r="N161" s="15"/>
      <c r="O161" s="14">
        <f>+B161+1460</f>
        <v>43970</v>
      </c>
      <c r="P161" s="14"/>
      <c r="Q161" s="13" t="s">
        <v>688</v>
      </c>
      <c r="R161" s="20"/>
    </row>
    <row r="162" spans="1:18" ht="17.25" customHeight="1" x14ac:dyDescent="0.7">
      <c r="A162" s="11">
        <v>158</v>
      </c>
      <c r="B162" s="12">
        <v>42513</v>
      </c>
      <c r="C162" s="13" t="s">
        <v>506</v>
      </c>
      <c r="D162" s="13"/>
      <c r="E162" s="11" t="s">
        <v>507</v>
      </c>
      <c r="F162" s="11" t="s">
        <v>28</v>
      </c>
      <c r="G162" s="15"/>
      <c r="H162" s="15" t="s">
        <v>623</v>
      </c>
      <c r="I162" s="15" t="s">
        <v>623</v>
      </c>
      <c r="J162" s="15" t="s">
        <v>623</v>
      </c>
      <c r="K162" s="18" t="s">
        <v>620</v>
      </c>
      <c r="L162" s="15"/>
      <c r="M162" s="15"/>
      <c r="N162" s="15"/>
      <c r="O162" s="14">
        <f>+B162+1460</f>
        <v>43973</v>
      </c>
      <c r="P162" s="14"/>
      <c r="Q162" s="13"/>
      <c r="R162" s="20"/>
    </row>
    <row r="163" spans="1:18" ht="17.25" customHeight="1" x14ac:dyDescent="0.7">
      <c r="A163" s="11">
        <v>159</v>
      </c>
      <c r="B163" s="12">
        <v>42513</v>
      </c>
      <c r="C163" s="13" t="s">
        <v>689</v>
      </c>
      <c r="D163" s="13"/>
      <c r="E163" s="11" t="s">
        <v>508</v>
      </c>
      <c r="F163" s="11">
        <v>1</v>
      </c>
      <c r="G163" s="15"/>
      <c r="H163" s="15" t="s">
        <v>623</v>
      </c>
      <c r="I163" s="15" t="s">
        <v>623</v>
      </c>
      <c r="J163" s="15" t="s">
        <v>623</v>
      </c>
      <c r="K163" s="18" t="s">
        <v>620</v>
      </c>
      <c r="L163" s="15"/>
      <c r="M163" s="15"/>
      <c r="N163" s="15"/>
      <c r="O163" s="14">
        <f>+B163+1460</f>
        <v>43973</v>
      </c>
      <c r="P163" s="14"/>
      <c r="Q163" s="13"/>
      <c r="R163" s="20"/>
    </row>
    <row r="164" spans="1:18" ht="17.25" customHeight="1" x14ac:dyDescent="0.7">
      <c r="A164" s="11">
        <v>160</v>
      </c>
      <c r="B164" s="12">
        <v>42513</v>
      </c>
      <c r="C164" s="13" t="s">
        <v>690</v>
      </c>
      <c r="D164" s="13"/>
      <c r="E164" s="11" t="s">
        <v>341</v>
      </c>
      <c r="F164" s="11">
        <v>1</v>
      </c>
      <c r="G164" s="14"/>
      <c r="H164" s="14">
        <v>42843</v>
      </c>
      <c r="I164" s="14">
        <v>43199</v>
      </c>
      <c r="J164" s="15" t="s">
        <v>623</v>
      </c>
      <c r="K164" s="18"/>
      <c r="L164" s="14">
        <v>43962</v>
      </c>
      <c r="M164" s="14"/>
      <c r="N164" s="14"/>
      <c r="O164" s="14">
        <f>+B164+1460+365</f>
        <v>44338</v>
      </c>
      <c r="P164" s="14"/>
      <c r="Q164" s="13"/>
      <c r="R164" s="20"/>
    </row>
    <row r="165" spans="1:18" ht="17.25" customHeight="1" x14ac:dyDescent="0.7">
      <c r="A165" s="11">
        <v>161</v>
      </c>
      <c r="B165" s="12">
        <v>42513</v>
      </c>
      <c r="C165" s="13" t="s">
        <v>691</v>
      </c>
      <c r="D165" s="13"/>
      <c r="E165" s="11" t="s">
        <v>148</v>
      </c>
      <c r="F165" s="11">
        <v>1</v>
      </c>
      <c r="G165" s="14"/>
      <c r="H165" s="14">
        <v>42843</v>
      </c>
      <c r="I165" s="14">
        <v>43199</v>
      </c>
      <c r="J165" s="14">
        <v>43654</v>
      </c>
      <c r="K165" s="18"/>
      <c r="L165" s="14">
        <v>43962</v>
      </c>
      <c r="M165" s="14"/>
      <c r="N165" s="14"/>
      <c r="O165" s="14">
        <f>+B165+1460+365</f>
        <v>44338</v>
      </c>
      <c r="P165" s="14"/>
      <c r="Q165" s="13"/>
      <c r="R165" s="20"/>
    </row>
    <row r="166" spans="1:18" ht="17.25" customHeight="1" x14ac:dyDescent="0.7">
      <c r="A166" s="11">
        <v>162</v>
      </c>
      <c r="B166" s="12">
        <v>42514</v>
      </c>
      <c r="C166" s="24" t="s">
        <v>294</v>
      </c>
      <c r="D166" s="24"/>
      <c r="E166" s="11" t="s">
        <v>295</v>
      </c>
      <c r="F166" s="11" t="s">
        <v>293</v>
      </c>
      <c r="G166" s="14"/>
      <c r="H166" s="14">
        <v>42874</v>
      </c>
      <c r="I166" s="14">
        <v>43246</v>
      </c>
      <c r="J166" s="14">
        <v>43626</v>
      </c>
      <c r="K166" s="18" t="s">
        <v>620</v>
      </c>
      <c r="L166" s="14"/>
      <c r="M166" s="14"/>
      <c r="N166" s="14"/>
      <c r="O166" s="14">
        <f>+B166+1460</f>
        <v>43974</v>
      </c>
      <c r="P166" s="14"/>
      <c r="Q166" s="13"/>
      <c r="R166" s="20"/>
    </row>
    <row r="167" spans="1:18" ht="17.25" customHeight="1" x14ac:dyDescent="0.7">
      <c r="A167" s="11">
        <v>163</v>
      </c>
      <c r="B167" s="12">
        <v>42516</v>
      </c>
      <c r="C167" s="13" t="s">
        <v>297</v>
      </c>
      <c r="D167" s="13"/>
      <c r="E167" s="11" t="s">
        <v>298</v>
      </c>
      <c r="F167" s="11" t="s">
        <v>296</v>
      </c>
      <c r="G167" s="14"/>
      <c r="H167" s="14">
        <v>42879</v>
      </c>
      <c r="I167" s="14">
        <v>43251</v>
      </c>
      <c r="J167" s="14">
        <v>43633</v>
      </c>
      <c r="K167" s="18" t="s">
        <v>620</v>
      </c>
      <c r="L167" s="14"/>
      <c r="M167" s="14"/>
      <c r="N167" s="14"/>
      <c r="O167" s="14">
        <f>+B167+1460</f>
        <v>43976</v>
      </c>
      <c r="P167" s="14"/>
      <c r="Q167" s="13"/>
      <c r="R167" s="20"/>
    </row>
    <row r="168" spans="1:18" ht="17.25" customHeight="1" x14ac:dyDescent="0.7">
      <c r="A168" s="11">
        <v>164</v>
      </c>
      <c r="B168" s="12">
        <v>42518</v>
      </c>
      <c r="C168" s="13" t="s">
        <v>342</v>
      </c>
      <c r="D168" s="13"/>
      <c r="E168" s="11" t="s">
        <v>343</v>
      </c>
      <c r="F168" s="11">
        <v>1</v>
      </c>
      <c r="G168" s="14"/>
      <c r="H168" s="14">
        <v>42953</v>
      </c>
      <c r="I168" s="14">
        <v>43394</v>
      </c>
      <c r="J168" s="15" t="s">
        <v>623</v>
      </c>
      <c r="K168" s="18"/>
      <c r="L168" s="14">
        <v>43885</v>
      </c>
      <c r="M168" s="14"/>
      <c r="N168" s="14"/>
      <c r="O168" s="14">
        <f>+B168+1460+365</f>
        <v>44343</v>
      </c>
      <c r="P168" s="14"/>
      <c r="Q168" s="13"/>
      <c r="R168" s="20"/>
    </row>
    <row r="169" spans="1:18" ht="17.25" customHeight="1" x14ac:dyDescent="0.7">
      <c r="A169" s="11">
        <v>165</v>
      </c>
      <c r="B169" s="12">
        <v>42520</v>
      </c>
      <c r="C169" s="13" t="s">
        <v>692</v>
      </c>
      <c r="D169" s="13"/>
      <c r="E169" s="11" t="s">
        <v>348</v>
      </c>
      <c r="F169" s="11" t="s">
        <v>347</v>
      </c>
      <c r="G169" s="15"/>
      <c r="H169" s="15" t="s">
        <v>623</v>
      </c>
      <c r="I169" s="15" t="s">
        <v>623</v>
      </c>
      <c r="J169" s="15" t="s">
        <v>623</v>
      </c>
      <c r="K169" s="18" t="s">
        <v>620</v>
      </c>
      <c r="L169" s="14">
        <v>44056</v>
      </c>
      <c r="M169" s="15"/>
      <c r="N169" s="15"/>
      <c r="O169" s="14">
        <f>+B169+1460+365</f>
        <v>44345</v>
      </c>
      <c r="P169" s="14"/>
      <c r="Q169" s="13"/>
      <c r="R169" s="20"/>
    </row>
    <row r="170" spans="1:18" ht="17.25" customHeight="1" x14ac:dyDescent="0.7">
      <c r="A170" s="11">
        <v>166</v>
      </c>
      <c r="B170" s="12">
        <v>42538</v>
      </c>
      <c r="C170" s="13" t="s">
        <v>510</v>
      </c>
      <c r="D170" s="13"/>
      <c r="E170" s="11" t="s">
        <v>511</v>
      </c>
      <c r="F170" s="11" t="s">
        <v>509</v>
      </c>
      <c r="G170" s="14"/>
      <c r="H170" s="15" t="s">
        <v>623</v>
      </c>
      <c r="I170" s="15" t="s">
        <v>623</v>
      </c>
      <c r="J170" s="15" t="s">
        <v>623</v>
      </c>
      <c r="K170" s="18" t="s">
        <v>620</v>
      </c>
      <c r="L170" s="15"/>
      <c r="M170" s="15"/>
      <c r="N170" s="15"/>
      <c r="O170" s="14">
        <f>+B170+1460</f>
        <v>43998</v>
      </c>
      <c r="P170" s="14"/>
      <c r="Q170" s="13"/>
      <c r="R170" s="20"/>
    </row>
    <row r="171" spans="1:18" ht="17.25" customHeight="1" x14ac:dyDescent="0.7">
      <c r="A171" s="11">
        <v>167</v>
      </c>
      <c r="B171" s="12">
        <v>42539</v>
      </c>
      <c r="C171" s="13" t="s">
        <v>512</v>
      </c>
      <c r="D171" s="13"/>
      <c r="E171" s="11" t="s">
        <v>513</v>
      </c>
      <c r="F171" s="11" t="s">
        <v>347</v>
      </c>
      <c r="G171" s="14"/>
      <c r="H171" s="15" t="s">
        <v>623</v>
      </c>
      <c r="I171" s="14">
        <v>43326</v>
      </c>
      <c r="J171" s="15" t="s">
        <v>623</v>
      </c>
      <c r="K171" s="18" t="s">
        <v>620</v>
      </c>
      <c r="L171" s="14"/>
      <c r="M171" s="14"/>
      <c r="N171" s="14"/>
      <c r="O171" s="14">
        <f>+B171+1460</f>
        <v>43999</v>
      </c>
      <c r="P171" s="14"/>
      <c r="Q171" s="13"/>
      <c r="R171" s="20"/>
    </row>
    <row r="172" spans="1:18" ht="17.25" customHeight="1" x14ac:dyDescent="0.7">
      <c r="A172" s="11">
        <v>168</v>
      </c>
      <c r="B172" s="12">
        <v>42542</v>
      </c>
      <c r="C172" s="13" t="s">
        <v>350</v>
      </c>
      <c r="D172" s="13"/>
      <c r="E172" s="11" t="s">
        <v>351</v>
      </c>
      <c r="F172" s="11" t="s">
        <v>347</v>
      </c>
      <c r="G172" s="14"/>
      <c r="H172" s="15" t="s">
        <v>623</v>
      </c>
      <c r="I172" s="14">
        <v>43380</v>
      </c>
      <c r="J172" s="14">
        <v>43640</v>
      </c>
      <c r="K172" s="18"/>
      <c r="L172" s="14">
        <v>44031</v>
      </c>
      <c r="M172" s="14"/>
      <c r="N172" s="14"/>
      <c r="O172" s="14">
        <f>+B172+1460+365</f>
        <v>44367</v>
      </c>
      <c r="P172" s="14"/>
      <c r="Q172" s="13"/>
      <c r="R172" s="20"/>
    </row>
    <row r="173" spans="1:18" ht="17.25" customHeight="1" x14ac:dyDescent="0.7">
      <c r="A173" s="11">
        <v>169</v>
      </c>
      <c r="B173" s="12">
        <v>42543</v>
      </c>
      <c r="C173" s="13" t="s">
        <v>514</v>
      </c>
      <c r="D173" s="13"/>
      <c r="E173" s="11"/>
      <c r="F173" s="11" t="s">
        <v>347</v>
      </c>
      <c r="G173" s="14"/>
      <c r="H173" s="15" t="s">
        <v>623</v>
      </c>
      <c r="I173" s="14">
        <v>43320</v>
      </c>
      <c r="J173" s="15" t="s">
        <v>623</v>
      </c>
      <c r="K173" s="18" t="s">
        <v>620</v>
      </c>
      <c r="L173" s="14"/>
      <c r="M173" s="14"/>
      <c r="N173" s="14"/>
      <c r="O173" s="14">
        <f>+B173+1460</f>
        <v>44003</v>
      </c>
      <c r="P173" s="14"/>
      <c r="Q173" s="13" t="s">
        <v>515</v>
      </c>
      <c r="R173" s="20"/>
    </row>
    <row r="174" spans="1:18" ht="17.25" customHeight="1" x14ac:dyDescent="0.7">
      <c r="A174" s="11">
        <v>170</v>
      </c>
      <c r="B174" s="12">
        <v>42545</v>
      </c>
      <c r="C174" s="13" t="s">
        <v>693</v>
      </c>
      <c r="D174" s="13"/>
      <c r="E174" s="11" t="s">
        <v>516</v>
      </c>
      <c r="F174" s="11" t="s">
        <v>347</v>
      </c>
      <c r="G174" s="14"/>
      <c r="H174" s="15" t="s">
        <v>623</v>
      </c>
      <c r="I174" s="15" t="s">
        <v>623</v>
      </c>
      <c r="J174" s="15" t="s">
        <v>623</v>
      </c>
      <c r="K174" s="18" t="s">
        <v>620</v>
      </c>
      <c r="L174" s="15"/>
      <c r="M174" s="15"/>
      <c r="N174" s="15"/>
      <c r="O174" s="14">
        <f>+B174+1460</f>
        <v>44005</v>
      </c>
      <c r="P174" s="14"/>
      <c r="Q174" s="13"/>
      <c r="R174" s="20"/>
    </row>
    <row r="175" spans="1:18" ht="17.25" customHeight="1" x14ac:dyDescent="0.7">
      <c r="A175" s="11">
        <v>171</v>
      </c>
      <c r="B175" s="12">
        <v>42548</v>
      </c>
      <c r="C175" s="13" t="s">
        <v>517</v>
      </c>
      <c r="D175" s="13"/>
      <c r="E175" s="11" t="s">
        <v>518</v>
      </c>
      <c r="F175" s="11" t="s">
        <v>12</v>
      </c>
      <c r="G175" s="14"/>
      <c r="H175" s="15" t="s">
        <v>623</v>
      </c>
      <c r="I175" s="15" t="s">
        <v>623</v>
      </c>
      <c r="J175" s="15" t="s">
        <v>623</v>
      </c>
      <c r="K175" s="18" t="s">
        <v>620</v>
      </c>
      <c r="L175" s="15"/>
      <c r="M175" s="15"/>
      <c r="N175" s="15"/>
      <c r="O175" s="14">
        <f>+B175+1460</f>
        <v>44008</v>
      </c>
      <c r="P175" s="14"/>
      <c r="Q175" s="13"/>
      <c r="R175" s="20"/>
    </row>
    <row r="176" spans="1:18" ht="17.25" customHeight="1" x14ac:dyDescent="0.7">
      <c r="A176" s="11">
        <v>172</v>
      </c>
      <c r="B176" s="12">
        <v>42548</v>
      </c>
      <c r="C176" s="13" t="s">
        <v>519</v>
      </c>
      <c r="D176" s="13"/>
      <c r="E176" s="11" t="s">
        <v>520</v>
      </c>
      <c r="F176" s="11" t="s">
        <v>347</v>
      </c>
      <c r="G176" s="14"/>
      <c r="H176" s="15" t="s">
        <v>623</v>
      </c>
      <c r="I176" s="15" t="s">
        <v>623</v>
      </c>
      <c r="J176" s="15" t="s">
        <v>623</v>
      </c>
      <c r="K176" s="18" t="s">
        <v>620</v>
      </c>
      <c r="L176" s="15"/>
      <c r="M176" s="15"/>
      <c r="N176" s="15"/>
      <c r="O176" s="14">
        <f>+B176+1460</f>
        <v>44008</v>
      </c>
      <c r="P176" s="14"/>
      <c r="Q176" s="13"/>
      <c r="R176" s="20"/>
    </row>
    <row r="177" spans="1:18" ht="17.25" customHeight="1" x14ac:dyDescent="0.7">
      <c r="A177" s="11">
        <v>173</v>
      </c>
      <c r="B177" s="12">
        <v>42563</v>
      </c>
      <c r="C177" s="13" t="s">
        <v>262</v>
      </c>
      <c r="D177" s="13"/>
      <c r="E177" s="11" t="s">
        <v>264</v>
      </c>
      <c r="F177" s="11">
        <v>1</v>
      </c>
      <c r="G177" s="14"/>
      <c r="H177" s="15" t="s">
        <v>623</v>
      </c>
      <c r="I177" s="15" t="s">
        <v>623</v>
      </c>
      <c r="J177" s="15" t="s">
        <v>623</v>
      </c>
      <c r="K177" s="18" t="s">
        <v>620</v>
      </c>
      <c r="L177" s="14">
        <v>44038</v>
      </c>
      <c r="M177" s="15"/>
      <c r="N177" s="15"/>
      <c r="O177" s="14">
        <f>+B177+1460+365</f>
        <v>44388</v>
      </c>
      <c r="P177" s="14"/>
      <c r="Q177" s="13"/>
      <c r="R177" s="20"/>
    </row>
    <row r="178" spans="1:18" ht="17.25" customHeight="1" x14ac:dyDescent="0.7">
      <c r="A178" s="11">
        <v>174</v>
      </c>
      <c r="B178" s="12">
        <v>42576</v>
      </c>
      <c r="C178" s="13" t="s">
        <v>521</v>
      </c>
      <c r="D178" s="13"/>
      <c r="E178" s="11" t="s">
        <v>522</v>
      </c>
      <c r="F178" s="11" t="s">
        <v>215</v>
      </c>
      <c r="G178" s="14"/>
      <c r="H178" s="15" t="s">
        <v>623</v>
      </c>
      <c r="I178" s="15" t="s">
        <v>623</v>
      </c>
      <c r="J178" s="15" t="s">
        <v>623</v>
      </c>
      <c r="K178" s="18" t="s">
        <v>620</v>
      </c>
      <c r="L178" s="15"/>
      <c r="M178" s="15"/>
      <c r="N178" s="15"/>
      <c r="O178" s="14">
        <f t="shared" ref="O178:O187" si="4">+B178+1460</f>
        <v>44036</v>
      </c>
      <c r="P178" s="14"/>
      <c r="Q178" s="13"/>
      <c r="R178" s="20"/>
    </row>
    <row r="179" spans="1:18" ht="17.25" customHeight="1" x14ac:dyDescent="0.7">
      <c r="A179" s="11">
        <v>175</v>
      </c>
      <c r="B179" s="12">
        <v>42576</v>
      </c>
      <c r="C179" s="13" t="s">
        <v>523</v>
      </c>
      <c r="D179" s="13"/>
      <c r="E179" s="11" t="s">
        <v>524</v>
      </c>
      <c r="F179" s="11" t="s">
        <v>215</v>
      </c>
      <c r="G179" s="14"/>
      <c r="H179" s="15" t="s">
        <v>623</v>
      </c>
      <c r="I179" s="15" t="s">
        <v>623</v>
      </c>
      <c r="J179" s="15" t="s">
        <v>623</v>
      </c>
      <c r="K179" s="18" t="s">
        <v>620</v>
      </c>
      <c r="L179" s="15"/>
      <c r="M179" s="15"/>
      <c r="N179" s="15"/>
      <c r="O179" s="14">
        <f t="shared" si="4"/>
        <v>44036</v>
      </c>
      <c r="P179" s="14"/>
      <c r="Q179" s="13"/>
      <c r="R179" s="20"/>
    </row>
    <row r="180" spans="1:18" ht="17.25" customHeight="1" x14ac:dyDescent="0.7">
      <c r="A180" s="11">
        <v>176</v>
      </c>
      <c r="B180" s="12">
        <v>42576</v>
      </c>
      <c r="C180" s="13" t="s">
        <v>525</v>
      </c>
      <c r="D180" s="13"/>
      <c r="E180" s="11" t="s">
        <v>526</v>
      </c>
      <c r="F180" s="11" t="s">
        <v>215</v>
      </c>
      <c r="G180" s="14"/>
      <c r="H180" s="15" t="s">
        <v>623</v>
      </c>
      <c r="I180" s="15" t="s">
        <v>623</v>
      </c>
      <c r="J180" s="15" t="s">
        <v>623</v>
      </c>
      <c r="K180" s="18" t="s">
        <v>620</v>
      </c>
      <c r="L180" s="15"/>
      <c r="M180" s="15"/>
      <c r="N180" s="15"/>
      <c r="O180" s="14">
        <f t="shared" si="4"/>
        <v>44036</v>
      </c>
      <c r="P180" s="14"/>
      <c r="Q180" s="13"/>
      <c r="R180" s="20"/>
    </row>
    <row r="181" spans="1:18" ht="17.25" customHeight="1" x14ac:dyDescent="0.7">
      <c r="A181" s="11">
        <v>177</v>
      </c>
      <c r="B181" s="12">
        <v>42578</v>
      </c>
      <c r="C181" s="13" t="s">
        <v>694</v>
      </c>
      <c r="D181" s="13"/>
      <c r="E181" s="11" t="s">
        <v>299</v>
      </c>
      <c r="F181" s="11">
        <v>1</v>
      </c>
      <c r="G181" s="14"/>
      <c r="H181" s="15" t="s">
        <v>623</v>
      </c>
      <c r="I181" s="15" t="s">
        <v>623</v>
      </c>
      <c r="J181" s="15" t="s">
        <v>623</v>
      </c>
      <c r="K181" s="18" t="s">
        <v>620</v>
      </c>
      <c r="L181" s="15"/>
      <c r="M181" s="15"/>
      <c r="N181" s="15"/>
      <c r="O181" s="14">
        <f t="shared" si="4"/>
        <v>44038</v>
      </c>
      <c r="P181" s="14"/>
      <c r="Q181" s="13"/>
      <c r="R181" s="20"/>
    </row>
    <row r="182" spans="1:18" ht="17.25" customHeight="1" x14ac:dyDescent="0.7">
      <c r="A182" s="11">
        <v>178</v>
      </c>
      <c r="B182" s="12">
        <v>42583</v>
      </c>
      <c r="C182" s="13" t="s">
        <v>528</v>
      </c>
      <c r="D182" s="13"/>
      <c r="E182" s="11" t="s">
        <v>529</v>
      </c>
      <c r="F182" s="11" t="s">
        <v>527</v>
      </c>
      <c r="G182" s="14"/>
      <c r="H182" s="15" t="s">
        <v>623</v>
      </c>
      <c r="I182" s="15" t="s">
        <v>623</v>
      </c>
      <c r="J182" s="15" t="s">
        <v>623</v>
      </c>
      <c r="K182" s="18" t="s">
        <v>620</v>
      </c>
      <c r="L182" s="15"/>
      <c r="M182" s="15"/>
      <c r="N182" s="15"/>
      <c r="O182" s="14">
        <f t="shared" si="4"/>
        <v>44043</v>
      </c>
      <c r="P182" s="14"/>
      <c r="Q182" s="13"/>
      <c r="R182" s="20"/>
    </row>
    <row r="183" spans="1:18" ht="17.25" customHeight="1" x14ac:dyDescent="0.7">
      <c r="A183" s="11">
        <v>179</v>
      </c>
      <c r="B183" s="12">
        <v>42583</v>
      </c>
      <c r="C183" s="13" t="s">
        <v>530</v>
      </c>
      <c r="D183" s="13"/>
      <c r="E183" s="11" t="s">
        <v>531</v>
      </c>
      <c r="F183" s="11" t="s">
        <v>527</v>
      </c>
      <c r="G183" s="14"/>
      <c r="H183" s="15" t="s">
        <v>623</v>
      </c>
      <c r="I183" s="15" t="s">
        <v>623</v>
      </c>
      <c r="J183" s="15" t="s">
        <v>623</v>
      </c>
      <c r="K183" s="18" t="s">
        <v>620</v>
      </c>
      <c r="L183" s="15"/>
      <c r="M183" s="15"/>
      <c r="N183" s="15"/>
      <c r="O183" s="14">
        <f t="shared" si="4"/>
        <v>44043</v>
      </c>
      <c r="P183" s="14"/>
      <c r="Q183" s="13" t="s">
        <v>695</v>
      </c>
      <c r="R183" s="20">
        <v>10110</v>
      </c>
    </row>
    <row r="184" spans="1:18" ht="17.25" customHeight="1" x14ac:dyDescent="0.7">
      <c r="A184" s="11">
        <v>180</v>
      </c>
      <c r="B184" s="12">
        <v>42583</v>
      </c>
      <c r="C184" s="13" t="s">
        <v>532</v>
      </c>
      <c r="D184" s="13"/>
      <c r="E184" s="11" t="s">
        <v>533</v>
      </c>
      <c r="F184" s="11" t="s">
        <v>527</v>
      </c>
      <c r="G184" s="14"/>
      <c r="H184" s="15" t="s">
        <v>623</v>
      </c>
      <c r="I184" s="14">
        <v>43322</v>
      </c>
      <c r="J184" s="15" t="s">
        <v>623</v>
      </c>
      <c r="K184" s="18" t="s">
        <v>620</v>
      </c>
      <c r="L184" s="14"/>
      <c r="M184" s="14"/>
      <c r="N184" s="14"/>
      <c r="O184" s="14">
        <f t="shared" si="4"/>
        <v>44043</v>
      </c>
      <c r="P184" s="14"/>
      <c r="Q184" s="13" t="s">
        <v>696</v>
      </c>
      <c r="R184" s="20"/>
    </row>
    <row r="185" spans="1:18" ht="17.25" customHeight="1" x14ac:dyDescent="0.7">
      <c r="A185" s="11">
        <v>181</v>
      </c>
      <c r="B185" s="12">
        <v>42593</v>
      </c>
      <c r="C185" s="13" t="s">
        <v>280</v>
      </c>
      <c r="D185" s="13"/>
      <c r="E185" s="11" t="s">
        <v>281</v>
      </c>
      <c r="F185" s="11" t="s">
        <v>17</v>
      </c>
      <c r="G185" s="14"/>
      <c r="H185" s="14">
        <v>43117</v>
      </c>
      <c r="I185" s="14">
        <v>43117</v>
      </c>
      <c r="J185" s="14">
        <v>43751</v>
      </c>
      <c r="K185" s="18"/>
      <c r="L185" s="14"/>
      <c r="M185" s="14"/>
      <c r="N185" s="14"/>
      <c r="O185" s="14">
        <f t="shared" si="4"/>
        <v>44053</v>
      </c>
      <c r="P185" s="14"/>
      <c r="Q185" s="13"/>
      <c r="R185" s="20"/>
    </row>
    <row r="186" spans="1:18" ht="17.25" customHeight="1" x14ac:dyDescent="0.7">
      <c r="A186" s="11">
        <v>182</v>
      </c>
      <c r="B186" s="12">
        <v>42603</v>
      </c>
      <c r="C186" s="13" t="s">
        <v>535</v>
      </c>
      <c r="D186" s="13"/>
      <c r="E186" s="11" t="s">
        <v>536</v>
      </c>
      <c r="F186" s="11" t="s">
        <v>534</v>
      </c>
      <c r="G186" s="14"/>
      <c r="H186" s="15" t="s">
        <v>623</v>
      </c>
      <c r="I186" s="14">
        <v>43172</v>
      </c>
      <c r="J186" s="14"/>
      <c r="K186" s="18" t="s">
        <v>620</v>
      </c>
      <c r="L186" s="14"/>
      <c r="M186" s="14"/>
      <c r="N186" s="14"/>
      <c r="O186" s="14">
        <f t="shared" si="4"/>
        <v>44063</v>
      </c>
      <c r="P186" s="14"/>
      <c r="Q186" s="13"/>
      <c r="R186" s="20"/>
    </row>
    <row r="187" spans="1:18" ht="17.25" customHeight="1" x14ac:dyDescent="0.7">
      <c r="A187" s="11">
        <v>183</v>
      </c>
      <c r="B187" s="12">
        <v>42603</v>
      </c>
      <c r="C187" s="13" t="s">
        <v>537</v>
      </c>
      <c r="D187" s="13"/>
      <c r="E187" s="11"/>
      <c r="F187" s="11"/>
      <c r="G187" s="14"/>
      <c r="H187" s="15" t="s">
        <v>623</v>
      </c>
      <c r="I187" s="15" t="s">
        <v>623</v>
      </c>
      <c r="J187" s="15" t="s">
        <v>623</v>
      </c>
      <c r="K187" s="18" t="s">
        <v>620</v>
      </c>
      <c r="L187" s="15"/>
      <c r="M187" s="15"/>
      <c r="N187" s="15"/>
      <c r="O187" s="14">
        <f t="shared" si="4"/>
        <v>44063</v>
      </c>
      <c r="P187" s="14"/>
      <c r="Q187" s="13"/>
      <c r="R187" s="20"/>
    </row>
    <row r="188" spans="1:18" ht="17.25" customHeight="1" x14ac:dyDescent="0.7">
      <c r="A188" s="11">
        <v>184</v>
      </c>
      <c r="B188" s="12">
        <v>42626</v>
      </c>
      <c r="C188" s="13" t="s">
        <v>300</v>
      </c>
      <c r="D188" s="13"/>
      <c r="E188" s="11" t="s">
        <v>301</v>
      </c>
      <c r="F188" s="11">
        <v>1</v>
      </c>
      <c r="G188" s="14"/>
      <c r="H188" s="14">
        <v>43075</v>
      </c>
      <c r="I188" s="14">
        <v>43075</v>
      </c>
      <c r="J188" s="14">
        <v>43752</v>
      </c>
      <c r="K188" s="18"/>
      <c r="L188" s="14">
        <v>44085</v>
      </c>
      <c r="M188" s="14"/>
      <c r="N188" s="14"/>
      <c r="O188" s="14">
        <f>+B188+1460+365</f>
        <v>44451</v>
      </c>
      <c r="P188" s="14"/>
      <c r="Q188" s="13"/>
      <c r="R188" s="20"/>
    </row>
    <row r="189" spans="1:18" ht="17.25" customHeight="1" x14ac:dyDescent="0.7">
      <c r="A189" s="11">
        <v>185</v>
      </c>
      <c r="B189" s="12">
        <v>42627</v>
      </c>
      <c r="C189" s="13" t="s">
        <v>697</v>
      </c>
      <c r="D189" s="13"/>
      <c r="E189" s="11" t="s">
        <v>302</v>
      </c>
      <c r="F189" s="11">
        <v>1</v>
      </c>
      <c r="G189" s="14"/>
      <c r="H189" s="15" t="s">
        <v>623</v>
      </c>
      <c r="I189" s="15" t="s">
        <v>623</v>
      </c>
      <c r="J189" s="14">
        <v>43757</v>
      </c>
      <c r="K189" s="19"/>
      <c r="L189" s="15"/>
      <c r="M189" s="15"/>
      <c r="N189" s="15"/>
      <c r="O189" s="14">
        <f>+B189+1460</f>
        <v>44087</v>
      </c>
      <c r="P189" s="14"/>
      <c r="Q189" s="21"/>
      <c r="R189" s="22"/>
    </row>
    <row r="190" spans="1:18" ht="17.25" customHeight="1" x14ac:dyDescent="0.7">
      <c r="A190" s="11">
        <v>186</v>
      </c>
      <c r="B190" s="12">
        <v>42634</v>
      </c>
      <c r="C190" s="13" t="s">
        <v>392</v>
      </c>
      <c r="D190" s="13"/>
      <c r="E190" s="11" t="s">
        <v>393</v>
      </c>
      <c r="F190" s="25" t="s">
        <v>391</v>
      </c>
      <c r="G190" s="14"/>
      <c r="H190" s="14">
        <v>43034</v>
      </c>
      <c r="I190" s="14">
        <v>43319</v>
      </c>
      <c r="J190" s="14"/>
      <c r="K190" s="19" t="s">
        <v>375</v>
      </c>
      <c r="L190" s="14"/>
      <c r="M190" s="14"/>
      <c r="N190" s="14"/>
      <c r="O190" s="19" t="s">
        <v>375</v>
      </c>
      <c r="P190" s="19"/>
      <c r="Q190" s="21"/>
      <c r="R190" s="22"/>
    </row>
    <row r="191" spans="1:18" ht="17.25" customHeight="1" x14ac:dyDescent="0.7">
      <c r="A191" s="11">
        <v>187</v>
      </c>
      <c r="B191" s="12">
        <v>42669</v>
      </c>
      <c r="C191" s="13" t="s">
        <v>538</v>
      </c>
      <c r="D191" s="13"/>
      <c r="E191" s="11" t="s">
        <v>539</v>
      </c>
      <c r="F191" s="11" t="s">
        <v>303</v>
      </c>
      <c r="G191" s="14"/>
      <c r="H191" s="15" t="s">
        <v>623</v>
      </c>
      <c r="I191" s="15" t="s">
        <v>623</v>
      </c>
      <c r="J191" s="15" t="s">
        <v>623</v>
      </c>
      <c r="K191" s="18" t="s">
        <v>620</v>
      </c>
      <c r="L191" s="15"/>
      <c r="M191" s="15"/>
      <c r="N191" s="15"/>
      <c r="O191" s="14">
        <f>+B191+1460</f>
        <v>44129</v>
      </c>
      <c r="P191" s="14"/>
      <c r="Q191" s="21"/>
      <c r="R191" s="22"/>
    </row>
    <row r="192" spans="1:18" ht="17.25" customHeight="1" x14ac:dyDescent="0.7">
      <c r="A192" s="11">
        <v>188</v>
      </c>
      <c r="B192" s="12">
        <v>42669</v>
      </c>
      <c r="C192" s="13" t="s">
        <v>540</v>
      </c>
      <c r="D192" s="13"/>
      <c r="E192" s="11" t="s">
        <v>541</v>
      </c>
      <c r="F192" s="11" t="s">
        <v>303</v>
      </c>
      <c r="G192" s="14"/>
      <c r="H192" s="15" t="s">
        <v>623</v>
      </c>
      <c r="I192" s="15" t="s">
        <v>623</v>
      </c>
      <c r="J192" s="15" t="s">
        <v>623</v>
      </c>
      <c r="K192" s="18" t="s">
        <v>620</v>
      </c>
      <c r="L192" s="15"/>
      <c r="M192" s="15"/>
      <c r="N192" s="15"/>
      <c r="O192" s="14">
        <f>+B192+1460</f>
        <v>44129</v>
      </c>
      <c r="P192" s="14"/>
      <c r="Q192" s="21"/>
      <c r="R192" s="22"/>
    </row>
    <row r="193" spans="1:18" ht="17.25" customHeight="1" x14ac:dyDescent="0.7">
      <c r="A193" s="11">
        <v>189</v>
      </c>
      <c r="B193" s="12">
        <v>42669</v>
      </c>
      <c r="C193" s="13" t="s">
        <v>542</v>
      </c>
      <c r="D193" s="13"/>
      <c r="E193" s="11" t="s">
        <v>543</v>
      </c>
      <c r="F193" s="11" t="s">
        <v>303</v>
      </c>
      <c r="G193" s="14"/>
      <c r="H193" s="15" t="s">
        <v>623</v>
      </c>
      <c r="I193" s="15" t="s">
        <v>623</v>
      </c>
      <c r="J193" s="15" t="s">
        <v>623</v>
      </c>
      <c r="K193" s="18" t="s">
        <v>620</v>
      </c>
      <c r="L193" s="15"/>
      <c r="M193" s="15"/>
      <c r="N193" s="15"/>
      <c r="O193" s="14">
        <f>+B193+1460</f>
        <v>44129</v>
      </c>
      <c r="P193" s="14"/>
      <c r="Q193" s="21"/>
      <c r="R193" s="22"/>
    </row>
    <row r="194" spans="1:18" ht="17.25" customHeight="1" x14ac:dyDescent="0.7">
      <c r="A194" s="11">
        <v>190</v>
      </c>
      <c r="B194" s="12">
        <v>42671</v>
      </c>
      <c r="C194" s="13" t="s">
        <v>698</v>
      </c>
      <c r="D194" s="13"/>
      <c r="E194" s="11" t="s">
        <v>315</v>
      </c>
      <c r="F194" s="11" t="s">
        <v>311</v>
      </c>
      <c r="G194" s="14"/>
      <c r="H194" s="15" t="s">
        <v>623</v>
      </c>
      <c r="I194" s="14">
        <v>43423</v>
      </c>
      <c r="J194" s="15" t="s">
        <v>623</v>
      </c>
      <c r="K194" s="18" t="s">
        <v>620</v>
      </c>
      <c r="L194" s="14"/>
      <c r="M194" s="14"/>
      <c r="N194" s="14"/>
      <c r="O194" s="14">
        <f>+B194+1460</f>
        <v>44131</v>
      </c>
      <c r="P194" s="14"/>
      <c r="Q194" s="21"/>
      <c r="R194" s="22"/>
    </row>
    <row r="195" spans="1:18" ht="17.25" customHeight="1" x14ac:dyDescent="0.7">
      <c r="A195" s="11">
        <v>191</v>
      </c>
      <c r="B195" s="12">
        <v>42704</v>
      </c>
      <c r="C195" s="13" t="s">
        <v>544</v>
      </c>
      <c r="D195" s="13"/>
      <c r="E195" s="11" t="s">
        <v>545</v>
      </c>
      <c r="F195" s="11" t="s">
        <v>101</v>
      </c>
      <c r="G195" s="14"/>
      <c r="H195" s="15" t="s">
        <v>623</v>
      </c>
      <c r="I195" s="15" t="s">
        <v>623</v>
      </c>
      <c r="J195" s="15" t="s">
        <v>623</v>
      </c>
      <c r="K195" s="18" t="s">
        <v>620</v>
      </c>
      <c r="L195" s="15"/>
      <c r="M195" s="15"/>
      <c r="N195" s="15"/>
      <c r="O195" s="14">
        <f>+B195+1460</f>
        <v>44164</v>
      </c>
      <c r="P195" s="14"/>
      <c r="Q195" s="21"/>
      <c r="R195" s="22"/>
    </row>
    <row r="196" spans="1:18" ht="17.25" customHeight="1" x14ac:dyDescent="0.7">
      <c r="A196" s="11">
        <v>192</v>
      </c>
      <c r="B196" s="12">
        <v>42723</v>
      </c>
      <c r="C196" s="13" t="s">
        <v>546</v>
      </c>
      <c r="D196" s="13"/>
      <c r="E196" s="11" t="s">
        <v>547</v>
      </c>
      <c r="F196" s="11" t="s">
        <v>323</v>
      </c>
      <c r="G196" s="14"/>
      <c r="H196" s="15" t="s">
        <v>623</v>
      </c>
      <c r="I196" s="14">
        <v>43299</v>
      </c>
      <c r="J196" s="15" t="s">
        <v>623</v>
      </c>
      <c r="K196" s="18" t="s">
        <v>620</v>
      </c>
      <c r="L196" s="14"/>
      <c r="M196" s="14"/>
      <c r="N196" s="14"/>
      <c r="O196" s="14"/>
      <c r="P196" s="14"/>
      <c r="Q196" s="21"/>
      <c r="R196" s="22"/>
    </row>
    <row r="197" spans="1:18" ht="16.399999999999999" customHeight="1" x14ac:dyDescent="0.7">
      <c r="A197" s="11">
        <v>193</v>
      </c>
      <c r="B197" s="12">
        <v>42758</v>
      </c>
      <c r="C197" s="13" t="s">
        <v>548</v>
      </c>
      <c r="D197" s="13"/>
      <c r="E197" s="11" t="s">
        <v>549</v>
      </c>
      <c r="F197" s="11">
        <v>1</v>
      </c>
      <c r="G197" s="14"/>
      <c r="H197" s="14"/>
      <c r="I197" s="14">
        <v>42758</v>
      </c>
      <c r="J197" s="15" t="s">
        <v>623</v>
      </c>
      <c r="K197" s="18" t="s">
        <v>620</v>
      </c>
      <c r="L197" s="14"/>
      <c r="M197" s="14"/>
      <c r="N197" s="14"/>
      <c r="O197" s="14">
        <f>+B197+730+365</f>
        <v>43853</v>
      </c>
      <c r="P197" s="14"/>
      <c r="Q197" s="13" t="s">
        <v>699</v>
      </c>
      <c r="R197" s="20">
        <v>10230</v>
      </c>
    </row>
    <row r="198" spans="1:18" ht="16.399999999999999" customHeight="1" x14ac:dyDescent="0.7">
      <c r="A198" s="11">
        <v>194</v>
      </c>
      <c r="B198" s="12">
        <v>42796</v>
      </c>
      <c r="C198" s="13" t="s">
        <v>97</v>
      </c>
      <c r="D198" s="13"/>
      <c r="E198" s="11" t="s">
        <v>99</v>
      </c>
      <c r="F198" s="11">
        <v>1</v>
      </c>
      <c r="G198" s="14"/>
      <c r="H198" s="12"/>
      <c r="I198" s="14">
        <v>43294</v>
      </c>
      <c r="J198" s="14">
        <v>43537</v>
      </c>
      <c r="K198" s="18"/>
      <c r="L198" s="14">
        <v>43895</v>
      </c>
      <c r="M198" s="14"/>
      <c r="N198" s="14"/>
      <c r="O198" s="14">
        <f>+B198+730+365+365</f>
        <v>44256</v>
      </c>
      <c r="P198" s="14"/>
      <c r="Q198" s="13" t="s">
        <v>700</v>
      </c>
      <c r="R198" s="20">
        <v>10500</v>
      </c>
    </row>
    <row r="199" spans="1:18" ht="16.399999999999999" customHeight="1" x14ac:dyDescent="0.7">
      <c r="A199" s="11">
        <v>195</v>
      </c>
      <c r="B199" s="12">
        <v>42798</v>
      </c>
      <c r="C199" s="13" t="s">
        <v>550</v>
      </c>
      <c r="D199" s="13"/>
      <c r="E199" s="11" t="s">
        <v>551</v>
      </c>
      <c r="F199" s="11" t="s">
        <v>101</v>
      </c>
      <c r="G199" s="14"/>
      <c r="H199" s="14"/>
      <c r="I199" s="14">
        <v>43198</v>
      </c>
      <c r="J199" s="15" t="s">
        <v>623</v>
      </c>
      <c r="K199" s="18" t="s">
        <v>620</v>
      </c>
      <c r="L199" s="14"/>
      <c r="M199" s="14"/>
      <c r="N199" s="14"/>
      <c r="O199" s="14">
        <f>+B199+730+365</f>
        <v>43893</v>
      </c>
      <c r="P199" s="14"/>
      <c r="Q199" s="13" t="s">
        <v>701</v>
      </c>
      <c r="R199" s="20">
        <v>10510</v>
      </c>
    </row>
    <row r="200" spans="1:18" ht="16.399999999999999" customHeight="1" x14ac:dyDescent="0.7">
      <c r="A200" s="11">
        <v>196</v>
      </c>
      <c r="B200" s="12">
        <v>42798</v>
      </c>
      <c r="C200" s="13" t="s">
        <v>552</v>
      </c>
      <c r="D200" s="13"/>
      <c r="E200" s="11"/>
      <c r="F200" s="11">
        <v>1</v>
      </c>
      <c r="G200" s="14"/>
      <c r="H200" s="14"/>
      <c r="I200" s="14">
        <v>42880</v>
      </c>
      <c r="J200" s="15" t="s">
        <v>623</v>
      </c>
      <c r="K200" s="18" t="s">
        <v>620</v>
      </c>
      <c r="L200" s="14"/>
      <c r="M200" s="14"/>
      <c r="N200" s="14"/>
      <c r="O200" s="14">
        <f>+B200+730+365</f>
        <v>43893</v>
      </c>
      <c r="P200" s="14"/>
      <c r="Q200" s="13" t="s">
        <v>702</v>
      </c>
      <c r="R200" s="20">
        <v>10120</v>
      </c>
    </row>
    <row r="201" spans="1:18" ht="16.399999999999999" customHeight="1" x14ac:dyDescent="0.7">
      <c r="A201" s="11">
        <v>197</v>
      </c>
      <c r="B201" s="12">
        <v>42798</v>
      </c>
      <c r="C201" s="13" t="s">
        <v>553</v>
      </c>
      <c r="D201" s="13"/>
      <c r="E201" s="11"/>
      <c r="F201" s="11">
        <v>1</v>
      </c>
      <c r="G201" s="14"/>
      <c r="H201" s="12"/>
      <c r="I201" s="15" t="s">
        <v>623</v>
      </c>
      <c r="J201" s="15" t="s">
        <v>623</v>
      </c>
      <c r="K201" s="18" t="s">
        <v>620</v>
      </c>
      <c r="L201" s="14"/>
      <c r="M201" s="14"/>
      <c r="N201" s="14"/>
      <c r="O201" s="14">
        <f>+B201+730+365</f>
        <v>43893</v>
      </c>
      <c r="P201" s="14"/>
      <c r="Q201" s="13"/>
      <c r="R201" s="20"/>
    </row>
    <row r="202" spans="1:18" ht="15.65" customHeight="1" x14ac:dyDescent="0.7">
      <c r="A202" s="11">
        <v>198</v>
      </c>
      <c r="B202" s="12">
        <v>42799</v>
      </c>
      <c r="C202" s="13" t="s">
        <v>304</v>
      </c>
      <c r="D202" s="13"/>
      <c r="E202" s="11"/>
      <c r="F202" s="11" t="s">
        <v>303</v>
      </c>
      <c r="G202" s="14"/>
      <c r="H202" s="12"/>
      <c r="I202" s="14">
        <v>43412</v>
      </c>
      <c r="J202" s="14">
        <v>43597</v>
      </c>
      <c r="K202" s="18" t="s">
        <v>620</v>
      </c>
      <c r="L202" s="14"/>
      <c r="M202" s="14"/>
      <c r="N202" s="14"/>
      <c r="O202" s="14">
        <f>+B202+730+365</f>
        <v>43894</v>
      </c>
      <c r="P202" s="14"/>
      <c r="Q202" s="13"/>
      <c r="R202" s="20"/>
    </row>
    <row r="203" spans="1:18" ht="16.399999999999999" customHeight="1" x14ac:dyDescent="0.7">
      <c r="A203" s="11">
        <v>199</v>
      </c>
      <c r="B203" s="12">
        <v>42808</v>
      </c>
      <c r="C203" s="13" t="s">
        <v>554</v>
      </c>
      <c r="D203" s="13"/>
      <c r="E203" s="11" t="s">
        <v>555</v>
      </c>
      <c r="F203" s="11">
        <v>1</v>
      </c>
      <c r="G203" s="14"/>
      <c r="H203" s="12"/>
      <c r="I203" s="14">
        <v>43333</v>
      </c>
      <c r="J203" s="15" t="s">
        <v>623</v>
      </c>
      <c r="K203" s="18" t="s">
        <v>620</v>
      </c>
      <c r="L203" s="14"/>
      <c r="M203" s="14"/>
      <c r="N203" s="14"/>
      <c r="O203" s="14">
        <f>+B203+730+365</f>
        <v>43903</v>
      </c>
      <c r="P203" s="14"/>
      <c r="Q203" s="13"/>
      <c r="R203" s="20"/>
    </row>
    <row r="204" spans="1:18" ht="16.399999999999999" customHeight="1" x14ac:dyDescent="0.7">
      <c r="A204" s="11">
        <v>200</v>
      </c>
      <c r="B204" s="12">
        <v>43025</v>
      </c>
      <c r="C204" s="13" t="s">
        <v>325</v>
      </c>
      <c r="D204" s="13"/>
      <c r="E204" s="11" t="s">
        <v>326</v>
      </c>
      <c r="F204" s="11" t="s">
        <v>215</v>
      </c>
      <c r="G204" s="14"/>
      <c r="H204" s="12"/>
      <c r="I204" s="14">
        <v>43383</v>
      </c>
      <c r="J204" s="14">
        <v>43752</v>
      </c>
      <c r="K204" s="18"/>
      <c r="L204" s="14">
        <v>44137</v>
      </c>
      <c r="M204" s="14"/>
      <c r="N204" s="14"/>
      <c r="O204" s="14">
        <f>+B204+730+365+365</f>
        <v>44485</v>
      </c>
      <c r="P204" s="14"/>
      <c r="Q204" s="21"/>
      <c r="R204" s="22"/>
    </row>
    <row r="205" spans="1:18" ht="16.399999999999999" customHeight="1" x14ac:dyDescent="0.7">
      <c r="A205" s="11">
        <v>201</v>
      </c>
      <c r="B205" s="12">
        <v>43047</v>
      </c>
      <c r="C205" s="13" t="s">
        <v>703</v>
      </c>
      <c r="D205" s="13"/>
      <c r="E205" s="11" t="s">
        <v>556</v>
      </c>
      <c r="F205" s="11">
        <v>1</v>
      </c>
      <c r="G205" s="14"/>
      <c r="H205" s="12"/>
      <c r="I205" s="15" t="s">
        <v>623</v>
      </c>
      <c r="J205" s="15" t="s">
        <v>623</v>
      </c>
      <c r="K205" s="18" t="s">
        <v>704</v>
      </c>
      <c r="L205" s="14"/>
      <c r="M205" s="14"/>
      <c r="N205" s="14"/>
      <c r="O205" s="14">
        <f>+B205+730+365</f>
        <v>44142</v>
      </c>
      <c r="P205" s="14"/>
      <c r="Q205" s="21"/>
      <c r="R205" s="22"/>
    </row>
    <row r="206" spans="1:18" ht="15.65" customHeight="1" x14ac:dyDescent="0.7">
      <c r="A206" s="11">
        <v>202</v>
      </c>
      <c r="B206" s="12">
        <v>43131</v>
      </c>
      <c r="C206" s="13" t="s">
        <v>35</v>
      </c>
      <c r="D206" s="13"/>
      <c r="E206" s="11" t="s">
        <v>37</v>
      </c>
      <c r="F206" s="11" t="s">
        <v>33</v>
      </c>
      <c r="G206" s="14"/>
      <c r="H206" s="12"/>
      <c r="I206" s="15" t="s">
        <v>623</v>
      </c>
      <c r="J206" s="14">
        <v>43497</v>
      </c>
      <c r="K206" s="18"/>
      <c r="L206" s="14">
        <v>43935</v>
      </c>
      <c r="M206" s="14"/>
      <c r="N206" s="14"/>
      <c r="O206" s="14">
        <f>+B206+365+365+365</f>
        <v>44226</v>
      </c>
      <c r="P206" s="14"/>
      <c r="Q206" s="13"/>
      <c r="R206" s="40"/>
    </row>
    <row r="207" spans="1:18" ht="15.65" customHeight="1" x14ac:dyDescent="0.7">
      <c r="A207" s="11">
        <v>203</v>
      </c>
      <c r="B207" s="12">
        <v>43172</v>
      </c>
      <c r="C207" s="13" t="s">
        <v>557</v>
      </c>
      <c r="D207" s="13"/>
      <c r="E207" s="11" t="s">
        <v>558</v>
      </c>
      <c r="F207" s="11" t="s">
        <v>12</v>
      </c>
      <c r="G207" s="14"/>
      <c r="H207" s="12"/>
      <c r="I207" s="15" t="s">
        <v>623</v>
      </c>
      <c r="J207" s="15" t="s">
        <v>623</v>
      </c>
      <c r="K207" s="18" t="s">
        <v>620</v>
      </c>
      <c r="L207" s="14"/>
      <c r="M207" s="14"/>
      <c r="N207" s="14"/>
      <c r="O207" s="14">
        <f>+B207+365+365</f>
        <v>43902</v>
      </c>
      <c r="P207" s="14"/>
      <c r="Q207" s="13"/>
      <c r="R207" s="40"/>
    </row>
    <row r="208" spans="1:18" ht="15.65" customHeight="1" x14ac:dyDescent="0.7">
      <c r="A208" s="11">
        <v>204</v>
      </c>
      <c r="B208" s="12">
        <v>43190</v>
      </c>
      <c r="C208" s="13" t="s">
        <v>559</v>
      </c>
      <c r="D208" s="13"/>
      <c r="E208" s="11" t="s">
        <v>560</v>
      </c>
      <c r="F208" s="11">
        <v>1</v>
      </c>
      <c r="G208" s="14"/>
      <c r="H208" s="12"/>
      <c r="I208" s="15" t="s">
        <v>623</v>
      </c>
      <c r="J208" s="15" t="s">
        <v>623</v>
      </c>
      <c r="K208" s="18" t="s">
        <v>620</v>
      </c>
      <c r="L208" s="14"/>
      <c r="M208" s="14"/>
      <c r="N208" s="14"/>
      <c r="O208" s="14">
        <f>+B208+365+365</f>
        <v>43920</v>
      </c>
      <c r="P208" s="14"/>
      <c r="Q208" s="13"/>
      <c r="R208" s="40"/>
    </row>
    <row r="209" spans="1:18" ht="15.65" customHeight="1" x14ac:dyDescent="0.7">
      <c r="A209" s="11">
        <v>205</v>
      </c>
      <c r="B209" s="12">
        <v>43190</v>
      </c>
      <c r="C209" s="13" t="s">
        <v>330</v>
      </c>
      <c r="D209" s="13"/>
      <c r="E209" s="11" t="s">
        <v>331</v>
      </c>
      <c r="F209" s="11" t="s">
        <v>12</v>
      </c>
      <c r="G209" s="14"/>
      <c r="H209" s="12"/>
      <c r="I209" s="15" t="s">
        <v>623</v>
      </c>
      <c r="J209" s="15" t="s">
        <v>623</v>
      </c>
      <c r="K209" s="18" t="s">
        <v>620</v>
      </c>
      <c r="L209" s="14"/>
      <c r="M209" s="14"/>
      <c r="N209" s="14"/>
      <c r="O209" s="14">
        <f>+B209+365+365</f>
        <v>43920</v>
      </c>
      <c r="P209" s="14"/>
      <c r="Q209" s="13"/>
      <c r="R209" s="40"/>
    </row>
    <row r="210" spans="1:18" ht="15.65" customHeight="1" x14ac:dyDescent="0.7">
      <c r="A210" s="11">
        <v>206</v>
      </c>
      <c r="B210" s="12">
        <v>43190</v>
      </c>
      <c r="C210" s="13" t="s">
        <v>705</v>
      </c>
      <c r="D210" s="13"/>
      <c r="E210" s="11" t="s">
        <v>100</v>
      </c>
      <c r="F210" s="11">
        <v>1</v>
      </c>
      <c r="G210" s="14"/>
      <c r="H210" s="12"/>
      <c r="I210" s="15" t="s">
        <v>623</v>
      </c>
      <c r="J210" s="14">
        <v>43579</v>
      </c>
      <c r="K210" s="18"/>
      <c r="L210" s="14">
        <v>44018</v>
      </c>
      <c r="M210" s="14"/>
      <c r="N210" s="14"/>
      <c r="O210" s="14">
        <f>+B210+365+365+365</f>
        <v>44285</v>
      </c>
      <c r="P210" s="14"/>
      <c r="Q210" s="13" t="s">
        <v>706</v>
      </c>
      <c r="R210" s="40">
        <v>10160</v>
      </c>
    </row>
    <row r="211" spans="1:18" ht="15.65" customHeight="1" x14ac:dyDescent="0.7">
      <c r="A211" s="11">
        <v>207</v>
      </c>
      <c r="B211" s="12">
        <v>43298</v>
      </c>
      <c r="C211" s="13" t="s">
        <v>707</v>
      </c>
      <c r="D211" s="13"/>
      <c r="E211" s="11" t="s">
        <v>265</v>
      </c>
      <c r="F211" s="11">
        <v>1</v>
      </c>
      <c r="G211" s="14"/>
      <c r="H211" s="12"/>
      <c r="I211" s="12"/>
      <c r="J211" s="14"/>
      <c r="K211" s="18"/>
      <c r="L211" s="14">
        <v>44039</v>
      </c>
      <c r="M211" s="14"/>
      <c r="N211" s="14"/>
      <c r="O211" s="14">
        <f>+B211+365+365+365</f>
        <v>44393</v>
      </c>
      <c r="P211" s="14"/>
      <c r="Q211" s="13"/>
      <c r="R211" s="40"/>
    </row>
    <row r="212" spans="1:18" ht="15.65" customHeight="1" x14ac:dyDescent="0.7">
      <c r="A212" s="11">
        <v>208</v>
      </c>
      <c r="B212" s="12">
        <v>43301</v>
      </c>
      <c r="C212" s="13" t="s">
        <v>266</v>
      </c>
      <c r="D212" s="13"/>
      <c r="E212" s="11"/>
      <c r="F212" s="11" t="s">
        <v>33</v>
      </c>
      <c r="G212" s="14"/>
      <c r="H212" s="12"/>
      <c r="I212" s="12"/>
      <c r="J212" s="14">
        <v>43752</v>
      </c>
      <c r="K212" s="18"/>
      <c r="L212" s="14">
        <v>44034</v>
      </c>
      <c r="M212" s="14"/>
      <c r="N212" s="14"/>
      <c r="O212" s="14">
        <f>+B212+365+365+365</f>
        <v>44396</v>
      </c>
      <c r="P212" s="37"/>
      <c r="Q212" s="23"/>
      <c r="R212" s="40"/>
    </row>
    <row r="213" spans="1:18" ht="15.65" customHeight="1" x14ac:dyDescent="0.7">
      <c r="A213" s="11">
        <v>209</v>
      </c>
      <c r="B213" s="12">
        <v>43306</v>
      </c>
      <c r="C213" s="13" t="s">
        <v>708</v>
      </c>
      <c r="D213" s="13"/>
      <c r="E213" s="11" t="s">
        <v>282</v>
      </c>
      <c r="F213" s="11" t="s">
        <v>51</v>
      </c>
      <c r="G213" s="14"/>
      <c r="H213" s="12"/>
      <c r="I213" s="15" t="s">
        <v>623</v>
      </c>
      <c r="J213" s="15" t="s">
        <v>623</v>
      </c>
      <c r="K213" s="18" t="s">
        <v>620</v>
      </c>
      <c r="L213" s="14"/>
      <c r="M213" s="14"/>
      <c r="N213" s="14"/>
      <c r="O213" s="14">
        <f>+B213+365+365</f>
        <v>44036</v>
      </c>
      <c r="P213" s="37"/>
      <c r="Q213" s="23"/>
      <c r="R213" s="40"/>
    </row>
    <row r="214" spans="1:18" ht="15.65" customHeight="1" x14ac:dyDescent="0.7">
      <c r="A214" s="11">
        <v>210</v>
      </c>
      <c r="B214" s="12">
        <v>43317</v>
      </c>
      <c r="C214" s="13" t="s">
        <v>283</v>
      </c>
      <c r="D214" s="13"/>
      <c r="E214" s="11"/>
      <c r="F214" s="11">
        <v>1</v>
      </c>
      <c r="G214" s="14"/>
      <c r="H214" s="12"/>
      <c r="I214" s="15"/>
      <c r="J214" s="15" t="s">
        <v>623</v>
      </c>
      <c r="K214" s="18"/>
      <c r="L214" s="14">
        <v>44037</v>
      </c>
      <c r="M214" s="14"/>
      <c r="N214" s="14"/>
      <c r="O214" s="14">
        <f>+B214+365+365+365</f>
        <v>44412</v>
      </c>
      <c r="P214" s="37"/>
      <c r="Q214" s="23"/>
      <c r="R214" s="40"/>
    </row>
    <row r="215" spans="1:18" ht="15.65" customHeight="1" x14ac:dyDescent="0.7">
      <c r="A215" s="11">
        <v>211</v>
      </c>
      <c r="B215" s="12">
        <v>43326</v>
      </c>
      <c r="C215" s="13" t="s">
        <v>284</v>
      </c>
      <c r="D215" s="13"/>
      <c r="E215" s="11" t="s">
        <v>285</v>
      </c>
      <c r="F215" s="11">
        <v>1</v>
      </c>
      <c r="G215" s="14"/>
      <c r="H215" s="12"/>
      <c r="I215" s="15" t="s">
        <v>623</v>
      </c>
      <c r="J215" s="14">
        <v>43753</v>
      </c>
      <c r="K215" s="18"/>
      <c r="L215" s="14">
        <v>44038</v>
      </c>
      <c r="M215" s="14"/>
      <c r="N215" s="14"/>
      <c r="O215" s="14">
        <f>+B215+365+365+365</f>
        <v>44421</v>
      </c>
      <c r="P215" s="37"/>
      <c r="Q215" s="23" t="s">
        <v>709</v>
      </c>
      <c r="R215" s="40">
        <v>10270</v>
      </c>
    </row>
    <row r="216" spans="1:18" ht="15.65" customHeight="1" x14ac:dyDescent="0.7">
      <c r="A216" s="11">
        <v>212</v>
      </c>
      <c r="B216" s="12">
        <v>43344</v>
      </c>
      <c r="C216" s="13" t="s">
        <v>305</v>
      </c>
      <c r="D216" s="13"/>
      <c r="E216" s="11" t="s">
        <v>710</v>
      </c>
      <c r="F216" s="11">
        <v>1</v>
      </c>
      <c r="G216" s="14"/>
      <c r="H216" s="12"/>
      <c r="I216" s="12"/>
      <c r="J216" s="14"/>
      <c r="K216" s="18"/>
      <c r="L216" s="14">
        <v>44038</v>
      </c>
      <c r="M216" s="14">
        <v>44038</v>
      </c>
      <c r="N216" s="14"/>
      <c r="O216" s="14">
        <f>+B216+365+365+365</f>
        <v>44439</v>
      </c>
      <c r="P216" s="37"/>
      <c r="Q216" s="23" t="s">
        <v>711</v>
      </c>
      <c r="R216" s="40"/>
    </row>
    <row r="217" spans="1:18" ht="15.65" customHeight="1" x14ac:dyDescent="0.7">
      <c r="A217" s="11">
        <v>213</v>
      </c>
      <c r="B217" s="12">
        <v>43356</v>
      </c>
      <c r="C217" s="13" t="s">
        <v>306</v>
      </c>
      <c r="D217" s="13"/>
      <c r="E217" s="11"/>
      <c r="F217" s="11">
        <v>1</v>
      </c>
      <c r="G217" s="14"/>
      <c r="H217" s="12"/>
      <c r="I217" s="12"/>
      <c r="J217" s="14"/>
      <c r="K217" s="18"/>
      <c r="L217" s="14">
        <v>44082</v>
      </c>
      <c r="M217" s="14">
        <v>44082</v>
      </c>
      <c r="N217" s="14"/>
      <c r="O217" s="14">
        <f>+B217+365+365+365+365</f>
        <v>44816</v>
      </c>
      <c r="P217" s="37"/>
      <c r="Q217" s="23"/>
      <c r="R217" s="40"/>
    </row>
    <row r="218" spans="1:18" ht="15.65" customHeight="1" x14ac:dyDescent="0.7">
      <c r="A218" s="11">
        <v>214</v>
      </c>
      <c r="B218" s="12">
        <v>43369</v>
      </c>
      <c r="C218" s="13" t="s">
        <v>307</v>
      </c>
      <c r="D218" s="13"/>
      <c r="E218" s="11"/>
      <c r="F218" s="11">
        <v>1</v>
      </c>
      <c r="G218" s="14"/>
      <c r="H218" s="12"/>
      <c r="I218" s="12"/>
      <c r="J218" s="14">
        <v>43752</v>
      </c>
      <c r="K218" s="14">
        <v>44099</v>
      </c>
      <c r="L218" s="14"/>
      <c r="M218" s="14"/>
      <c r="N218" s="14"/>
      <c r="O218" s="14">
        <f>+B218+365+365+365</f>
        <v>44464</v>
      </c>
      <c r="P218" s="37"/>
      <c r="Q218" s="2" t="s">
        <v>712</v>
      </c>
    </row>
    <row r="219" spans="1:18" ht="15.65" customHeight="1" x14ac:dyDescent="0.7">
      <c r="A219" s="11">
        <v>215</v>
      </c>
      <c r="B219" s="12">
        <v>43381</v>
      </c>
      <c r="C219" s="13" t="s">
        <v>713</v>
      </c>
      <c r="D219" s="13"/>
      <c r="E219" s="11" t="s">
        <v>563</v>
      </c>
      <c r="F219" s="11" t="s">
        <v>562</v>
      </c>
      <c r="G219" s="14"/>
      <c r="H219" s="12"/>
      <c r="I219" s="12"/>
      <c r="J219" s="14"/>
      <c r="K219" s="18"/>
      <c r="L219" s="14"/>
      <c r="M219" s="14"/>
      <c r="N219" s="14"/>
      <c r="O219" s="14">
        <f>+B219+365+365</f>
        <v>44111</v>
      </c>
      <c r="P219" s="37"/>
    </row>
    <row r="220" spans="1:18" ht="17.5" customHeight="1" x14ac:dyDescent="0.7">
      <c r="A220" s="11">
        <v>216</v>
      </c>
      <c r="B220" s="12">
        <v>43408</v>
      </c>
      <c r="C220" s="13" t="s">
        <v>564</v>
      </c>
      <c r="D220" s="13"/>
      <c r="E220" s="11"/>
      <c r="F220" s="11">
        <v>1</v>
      </c>
      <c r="G220" s="14"/>
      <c r="H220" s="12"/>
      <c r="I220" s="12"/>
      <c r="J220" s="14"/>
      <c r="K220" s="18"/>
      <c r="L220" s="14"/>
      <c r="M220" s="14"/>
      <c r="N220" s="14"/>
      <c r="O220" s="14">
        <f>+B220+365+365</f>
        <v>44138</v>
      </c>
      <c r="P220" s="37"/>
    </row>
    <row r="221" spans="1:18" ht="17.5" customHeight="1" x14ac:dyDescent="0.7">
      <c r="A221" s="11">
        <v>217</v>
      </c>
      <c r="B221" s="12">
        <v>43436</v>
      </c>
      <c r="C221" s="13" t="s">
        <v>321</v>
      </c>
      <c r="D221" s="13"/>
      <c r="E221" s="11"/>
      <c r="F221" s="11" t="s">
        <v>215</v>
      </c>
      <c r="G221" s="14"/>
      <c r="H221" s="12"/>
      <c r="I221" s="12"/>
      <c r="J221" s="38">
        <v>43857</v>
      </c>
      <c r="K221" s="38"/>
      <c r="L221" s="14"/>
      <c r="M221" s="14"/>
      <c r="N221" s="14"/>
      <c r="O221" s="14">
        <f>+B221+365+365</f>
        <v>44166</v>
      </c>
      <c r="P221" s="37"/>
    </row>
    <row r="222" spans="1:18" ht="20.149999999999999" customHeight="1" x14ac:dyDescent="0.7">
      <c r="A222" s="11">
        <v>218</v>
      </c>
      <c r="B222" s="12">
        <v>43448</v>
      </c>
      <c r="C222" s="13" t="s">
        <v>367</v>
      </c>
      <c r="D222" s="13"/>
      <c r="E222" s="11" t="s">
        <v>369</v>
      </c>
      <c r="F222" s="11" t="s">
        <v>51</v>
      </c>
      <c r="G222" s="14"/>
      <c r="H222" s="12"/>
      <c r="I222" s="12"/>
      <c r="J222" s="14"/>
      <c r="K222" s="18"/>
      <c r="L222" s="14">
        <v>44099</v>
      </c>
      <c r="M222" s="14"/>
      <c r="N222" s="14"/>
      <c r="O222" s="14">
        <f>+B222+365+365+365</f>
        <v>44543</v>
      </c>
      <c r="P222" s="37"/>
    </row>
    <row r="223" spans="1:18" ht="18.75" customHeight="1" x14ac:dyDescent="0.7">
      <c r="A223" s="11">
        <v>219</v>
      </c>
      <c r="B223" s="12">
        <v>43449</v>
      </c>
      <c r="C223" s="13" t="s">
        <v>322</v>
      </c>
      <c r="D223" s="13"/>
      <c r="E223" s="11"/>
      <c r="F223" s="11" t="s">
        <v>28</v>
      </c>
      <c r="G223" s="14"/>
      <c r="H223" s="12"/>
      <c r="I223" s="12"/>
      <c r="J223" s="14"/>
      <c r="K223" s="18"/>
      <c r="L223" s="14">
        <v>44041</v>
      </c>
      <c r="M223" s="14"/>
      <c r="N223" s="14"/>
      <c r="O223" s="14">
        <f>+B223+365+365+365</f>
        <v>44544</v>
      </c>
      <c r="P223" s="37"/>
    </row>
    <row r="224" spans="1:18" ht="18.75" customHeight="1" x14ac:dyDescent="0.7">
      <c r="A224" s="11">
        <v>220</v>
      </c>
      <c r="B224" s="12">
        <v>43471</v>
      </c>
      <c r="C224" s="13" t="s">
        <v>39</v>
      </c>
      <c r="D224" s="13"/>
      <c r="E224" s="11"/>
      <c r="F224" s="11" t="s">
        <v>38</v>
      </c>
      <c r="G224" s="14"/>
      <c r="H224" s="12"/>
      <c r="I224" s="12"/>
      <c r="J224" s="14"/>
      <c r="K224" s="18"/>
      <c r="L224" s="14">
        <v>43869</v>
      </c>
      <c r="M224" s="14"/>
      <c r="N224" s="14"/>
      <c r="O224" s="14">
        <f>+B224+365+365</f>
        <v>44201</v>
      </c>
      <c r="P224" s="37"/>
      <c r="Q224" s="23"/>
      <c r="R224" s="40"/>
    </row>
    <row r="225" spans="1:18" ht="18.75" customHeight="1" x14ac:dyDescent="0.7">
      <c r="A225" s="11">
        <v>221</v>
      </c>
      <c r="B225" s="12">
        <v>43471</v>
      </c>
      <c r="C225" s="13" t="s">
        <v>565</v>
      </c>
      <c r="D225" s="13"/>
      <c r="E225" s="11"/>
      <c r="F225" s="11" t="s">
        <v>38</v>
      </c>
      <c r="G225" s="14"/>
      <c r="H225" s="12"/>
      <c r="I225" s="12"/>
      <c r="J225" s="14"/>
      <c r="K225" s="18"/>
      <c r="L225" s="14"/>
      <c r="M225" s="14"/>
      <c r="N225" s="14"/>
      <c r="O225" s="14">
        <f>+B225+365</f>
        <v>43836</v>
      </c>
      <c r="P225" s="37"/>
      <c r="Q225" s="23"/>
      <c r="R225" s="40"/>
    </row>
    <row r="226" spans="1:18" ht="18.75" customHeight="1" x14ac:dyDescent="0.7">
      <c r="A226" s="11">
        <v>222</v>
      </c>
      <c r="B226" s="12">
        <v>43471</v>
      </c>
      <c r="C226" s="13" t="s">
        <v>566</v>
      </c>
      <c r="D226" s="13"/>
      <c r="E226" s="11"/>
      <c r="F226" s="11" t="s">
        <v>38</v>
      </c>
      <c r="G226" s="14"/>
      <c r="H226" s="12"/>
      <c r="I226" s="12"/>
      <c r="J226" s="14"/>
      <c r="K226" s="18"/>
      <c r="L226" s="14"/>
      <c r="M226" s="14"/>
      <c r="N226" s="14"/>
      <c r="O226" s="14">
        <f>+B226+365</f>
        <v>43836</v>
      </c>
      <c r="P226" s="37"/>
      <c r="Q226" s="23"/>
      <c r="R226" s="40"/>
    </row>
    <row r="227" spans="1:18" ht="18.75" customHeight="1" x14ac:dyDescent="0.7">
      <c r="A227" s="11">
        <v>223</v>
      </c>
      <c r="B227" s="12">
        <v>43471</v>
      </c>
      <c r="C227" s="13" t="s">
        <v>567</v>
      </c>
      <c r="D227" s="13"/>
      <c r="E227" s="11"/>
      <c r="F227" s="11" t="s">
        <v>38</v>
      </c>
      <c r="G227" s="14"/>
      <c r="H227" s="12"/>
      <c r="I227" s="12"/>
      <c r="J227" s="14"/>
      <c r="K227" s="18"/>
      <c r="L227" s="14"/>
      <c r="M227" s="14"/>
      <c r="N227" s="14"/>
      <c r="O227" s="14">
        <f>+B227+365</f>
        <v>43836</v>
      </c>
      <c r="P227" s="37"/>
      <c r="Q227" s="23"/>
      <c r="R227" s="40"/>
    </row>
    <row r="228" spans="1:18" ht="18.75" customHeight="1" x14ac:dyDescent="0.7">
      <c r="A228" s="11">
        <v>224</v>
      </c>
      <c r="B228" s="12">
        <v>43494</v>
      </c>
      <c r="C228" s="13" t="s">
        <v>41</v>
      </c>
      <c r="D228" s="13"/>
      <c r="E228" s="11" t="s">
        <v>591</v>
      </c>
      <c r="F228" s="11">
        <v>1</v>
      </c>
      <c r="G228" s="14"/>
      <c r="H228" s="12"/>
      <c r="I228" s="12"/>
      <c r="J228" s="14"/>
      <c r="K228" s="18"/>
      <c r="L228" s="14">
        <v>43869</v>
      </c>
      <c r="M228" s="14"/>
      <c r="N228" s="14"/>
      <c r="O228" s="14">
        <f>+B228+365+365</f>
        <v>44224</v>
      </c>
      <c r="P228" s="37"/>
      <c r="Q228" s="23"/>
      <c r="R228" s="40"/>
    </row>
    <row r="229" spans="1:18" ht="22.4" customHeight="1" x14ac:dyDescent="0.7">
      <c r="A229" s="11">
        <v>225</v>
      </c>
      <c r="B229" s="12">
        <v>43473</v>
      </c>
      <c r="C229" s="13" t="s">
        <v>568</v>
      </c>
      <c r="D229" s="13"/>
      <c r="E229" s="11" t="s">
        <v>569</v>
      </c>
      <c r="F229" s="11" t="s">
        <v>215</v>
      </c>
      <c r="G229" s="14"/>
      <c r="H229" s="12"/>
      <c r="I229" s="12"/>
      <c r="J229" s="14"/>
      <c r="K229" s="18"/>
      <c r="L229" s="14"/>
      <c r="M229" s="14"/>
      <c r="N229" s="14"/>
      <c r="O229" s="14">
        <f>+B229+365</f>
        <v>43838</v>
      </c>
      <c r="P229" s="37"/>
      <c r="Q229" s="23"/>
      <c r="R229" s="40"/>
    </row>
    <row r="230" spans="1:18" x14ac:dyDescent="0.7">
      <c r="A230" s="11">
        <v>226</v>
      </c>
      <c r="B230" s="12">
        <v>43585</v>
      </c>
      <c r="C230" s="13" t="s">
        <v>126</v>
      </c>
      <c r="D230" s="13"/>
      <c r="E230" s="11"/>
      <c r="F230" s="11" t="s">
        <v>124</v>
      </c>
      <c r="G230" s="14"/>
      <c r="H230" s="12"/>
      <c r="I230" s="12"/>
      <c r="J230" s="14"/>
      <c r="K230" s="18"/>
      <c r="L230" s="14">
        <v>44026</v>
      </c>
      <c r="M230" s="14"/>
      <c r="N230" s="14"/>
      <c r="O230" s="14">
        <f>+B230+365+365</f>
        <v>44315</v>
      </c>
      <c r="P230" s="37"/>
      <c r="Q230" s="23"/>
      <c r="R230" s="40"/>
    </row>
    <row r="231" spans="1:18" x14ac:dyDescent="0.7">
      <c r="A231" s="11">
        <v>227</v>
      </c>
      <c r="B231" s="12">
        <v>43657</v>
      </c>
      <c r="C231" s="13" t="s">
        <v>714</v>
      </c>
      <c r="D231" s="13"/>
      <c r="E231" s="11"/>
      <c r="F231" s="11">
        <v>1</v>
      </c>
      <c r="G231" s="14"/>
      <c r="H231" s="12"/>
      <c r="I231" s="12"/>
      <c r="J231" s="14"/>
      <c r="K231" s="18"/>
      <c r="L231" s="14">
        <v>44046</v>
      </c>
      <c r="M231" s="14"/>
      <c r="N231" s="14"/>
      <c r="O231" s="14">
        <f>+B231+365+365</f>
        <v>44387</v>
      </c>
      <c r="P231" s="37"/>
      <c r="Q231" s="23"/>
      <c r="R231" s="40"/>
    </row>
    <row r="232" spans="1:18" x14ac:dyDescent="0.7">
      <c r="A232" s="11">
        <v>228</v>
      </c>
      <c r="B232" s="12">
        <v>43556</v>
      </c>
      <c r="C232" s="13" t="s">
        <v>570</v>
      </c>
      <c r="D232" s="13"/>
      <c r="E232" s="11"/>
      <c r="F232" s="11">
        <v>8</v>
      </c>
      <c r="G232" s="14"/>
      <c r="H232" s="12"/>
      <c r="I232" s="12"/>
      <c r="J232" s="14"/>
      <c r="K232" s="18"/>
      <c r="L232" s="14"/>
      <c r="M232" s="14"/>
      <c r="N232" s="14"/>
      <c r="O232" s="14">
        <f>+B232+365</f>
        <v>43921</v>
      </c>
      <c r="P232" s="37"/>
      <c r="R232" s="40"/>
    </row>
    <row r="233" spans="1:18" x14ac:dyDescent="0.7">
      <c r="A233" s="11">
        <v>229</v>
      </c>
      <c r="B233" s="12">
        <v>43760</v>
      </c>
      <c r="C233" s="13" t="s">
        <v>316</v>
      </c>
      <c r="D233" s="13"/>
      <c r="E233" s="11"/>
      <c r="F233" s="11" t="s">
        <v>51</v>
      </c>
      <c r="G233" s="14"/>
      <c r="H233" s="12"/>
      <c r="I233" s="12"/>
      <c r="J233" s="14"/>
      <c r="K233" s="18"/>
      <c r="L233" s="14">
        <v>44120</v>
      </c>
      <c r="M233" s="14"/>
      <c r="N233" s="14"/>
      <c r="O233" s="14">
        <f>+B233+365+365</f>
        <v>44490</v>
      </c>
      <c r="P233" s="37"/>
    </row>
    <row r="234" spans="1:18" x14ac:dyDescent="0.7">
      <c r="A234" s="11">
        <v>230</v>
      </c>
      <c r="B234" s="12">
        <v>43971</v>
      </c>
      <c r="C234" s="13" t="s">
        <v>345</v>
      </c>
      <c r="D234" s="13"/>
      <c r="E234" s="11" t="s">
        <v>346</v>
      </c>
      <c r="F234" s="11" t="s">
        <v>344</v>
      </c>
      <c r="G234" s="14"/>
      <c r="H234" s="12"/>
      <c r="I234" s="12"/>
      <c r="J234" s="14"/>
      <c r="K234" s="18"/>
      <c r="L234" s="14"/>
      <c r="M234" s="14"/>
      <c r="N234" s="14"/>
      <c r="O234" s="14">
        <f t="shared" ref="O234:O246" si="5">+B234+365</f>
        <v>44336</v>
      </c>
      <c r="P234" s="37"/>
    </row>
    <row r="235" spans="1:18" x14ac:dyDescent="0.7">
      <c r="A235" s="11">
        <v>231</v>
      </c>
      <c r="B235" s="12">
        <v>44006</v>
      </c>
      <c r="C235" s="13" t="s">
        <v>715</v>
      </c>
      <c r="D235" s="13"/>
      <c r="E235" s="11" t="s">
        <v>214</v>
      </c>
      <c r="F235" s="11">
        <v>1</v>
      </c>
      <c r="G235" s="14"/>
      <c r="H235" s="12"/>
      <c r="I235" s="12"/>
      <c r="J235" s="14"/>
      <c r="K235" s="18"/>
      <c r="L235" s="14"/>
      <c r="M235" s="14"/>
      <c r="N235" s="14"/>
      <c r="O235" s="14">
        <f t="shared" si="5"/>
        <v>44371</v>
      </c>
      <c r="P235" s="37"/>
    </row>
    <row r="236" spans="1:18" x14ac:dyDescent="0.7">
      <c r="A236" s="11">
        <v>232</v>
      </c>
      <c r="B236" s="12">
        <v>44015</v>
      </c>
      <c r="C236" s="13" t="s">
        <v>716</v>
      </c>
      <c r="D236" s="13"/>
      <c r="E236" s="11" t="s">
        <v>267</v>
      </c>
      <c r="F236" s="11">
        <v>1</v>
      </c>
      <c r="G236" s="14"/>
      <c r="H236" s="12"/>
      <c r="I236" s="12"/>
      <c r="J236" s="14"/>
      <c r="K236" s="18"/>
      <c r="L236" s="14"/>
      <c r="M236" s="14"/>
      <c r="N236" s="14"/>
      <c r="O236" s="14">
        <f t="shared" si="5"/>
        <v>44380</v>
      </c>
      <c r="P236" s="37"/>
      <c r="Q236" s="2" t="s">
        <v>717</v>
      </c>
    </row>
    <row r="237" spans="1:18" x14ac:dyDescent="0.7">
      <c r="A237" s="11">
        <v>233</v>
      </c>
      <c r="B237" s="12">
        <v>44038</v>
      </c>
      <c r="C237" s="13" t="s">
        <v>268</v>
      </c>
      <c r="D237" s="13"/>
      <c r="E237" s="11" t="s">
        <v>267</v>
      </c>
      <c r="F237" s="11">
        <v>1</v>
      </c>
      <c r="G237" s="14"/>
      <c r="H237" s="12"/>
      <c r="I237" s="12"/>
      <c r="J237" s="14"/>
      <c r="K237" s="18"/>
      <c r="L237" s="14"/>
      <c r="M237" s="14"/>
      <c r="N237" s="14"/>
      <c r="O237" s="14">
        <f t="shared" si="5"/>
        <v>44403</v>
      </c>
      <c r="P237" s="37"/>
    </row>
    <row r="238" spans="1:18" x14ac:dyDescent="0.7">
      <c r="A238" s="11">
        <v>234</v>
      </c>
      <c r="B238" s="12">
        <v>44039</v>
      </c>
      <c r="C238" s="13" t="s">
        <v>718</v>
      </c>
      <c r="D238" s="13"/>
      <c r="E238" s="11" t="s">
        <v>269</v>
      </c>
      <c r="F238" s="11">
        <v>1</v>
      </c>
      <c r="G238" s="14"/>
      <c r="H238" s="12"/>
      <c r="I238" s="12"/>
      <c r="J238" s="14"/>
      <c r="K238" s="18"/>
      <c r="L238" s="14"/>
      <c r="M238" s="14"/>
      <c r="N238" s="14"/>
      <c r="O238" s="14">
        <f t="shared" si="5"/>
        <v>44404</v>
      </c>
      <c r="P238" s="37"/>
    </row>
    <row r="239" spans="1:18" x14ac:dyDescent="0.7">
      <c r="A239" s="11">
        <v>235</v>
      </c>
      <c r="B239" s="12">
        <v>44040</v>
      </c>
      <c r="C239" s="13" t="s">
        <v>270</v>
      </c>
      <c r="D239" s="13"/>
      <c r="E239" s="11"/>
      <c r="F239" s="11">
        <v>1</v>
      </c>
      <c r="G239" s="14"/>
      <c r="H239" s="12"/>
      <c r="I239" s="12"/>
      <c r="J239" s="14"/>
      <c r="K239" s="18"/>
      <c r="L239" s="14"/>
      <c r="M239" s="14"/>
      <c r="N239" s="14"/>
      <c r="O239" s="14">
        <f t="shared" si="5"/>
        <v>44405</v>
      </c>
      <c r="P239" s="37"/>
    </row>
    <row r="240" spans="1:18" x14ac:dyDescent="0.7">
      <c r="A240" s="11">
        <v>236</v>
      </c>
      <c r="B240" s="12">
        <v>44041</v>
      </c>
      <c r="C240" s="13" t="s">
        <v>271</v>
      </c>
      <c r="D240" s="13"/>
      <c r="E240" s="11" t="s">
        <v>719</v>
      </c>
      <c r="F240" s="11">
        <v>1</v>
      </c>
      <c r="G240" s="14"/>
      <c r="H240" s="12"/>
      <c r="I240" s="12"/>
      <c r="J240" s="14"/>
      <c r="K240" s="18"/>
      <c r="L240" s="14"/>
      <c r="M240" s="14"/>
      <c r="N240" s="14"/>
      <c r="O240" s="14">
        <f t="shared" si="5"/>
        <v>44406</v>
      </c>
      <c r="P240" s="37"/>
      <c r="Q240" s="2" t="s">
        <v>720</v>
      </c>
    </row>
    <row r="241" spans="1:17" x14ac:dyDescent="0.7">
      <c r="A241" s="11">
        <v>237</v>
      </c>
      <c r="B241" s="12">
        <v>44041</v>
      </c>
      <c r="C241" s="13" t="s">
        <v>358</v>
      </c>
      <c r="D241" s="13"/>
      <c r="E241" s="11" t="s">
        <v>359</v>
      </c>
      <c r="F241" s="11" t="s">
        <v>357</v>
      </c>
      <c r="G241" s="14"/>
      <c r="H241" s="12"/>
      <c r="I241" s="12"/>
      <c r="J241" s="14"/>
      <c r="K241" s="18"/>
      <c r="L241" s="14"/>
      <c r="M241" s="14"/>
      <c r="N241" s="14"/>
      <c r="O241" s="14">
        <f t="shared" si="5"/>
        <v>44406</v>
      </c>
      <c r="P241" s="37"/>
    </row>
    <row r="242" spans="1:17" x14ac:dyDescent="0.7">
      <c r="A242" s="11">
        <v>238</v>
      </c>
      <c r="B242" s="12">
        <v>44041</v>
      </c>
      <c r="C242" s="13" t="s">
        <v>272</v>
      </c>
      <c r="D242" s="13"/>
      <c r="E242" s="11" t="s">
        <v>273</v>
      </c>
      <c r="F242" s="11">
        <v>9</v>
      </c>
      <c r="G242" s="14"/>
      <c r="H242" s="12"/>
      <c r="I242" s="12"/>
      <c r="J242" s="14"/>
      <c r="K242" s="18"/>
      <c r="L242" s="14"/>
      <c r="M242" s="14"/>
      <c r="N242" s="14"/>
      <c r="O242" s="14">
        <f t="shared" si="5"/>
        <v>44406</v>
      </c>
      <c r="P242" s="37"/>
    </row>
    <row r="243" spans="1:17" x14ac:dyDescent="0.7">
      <c r="A243" s="11">
        <v>239</v>
      </c>
      <c r="B243" s="12">
        <v>43657</v>
      </c>
      <c r="C243" s="13" t="s">
        <v>571</v>
      </c>
      <c r="D243" s="13"/>
      <c r="E243" s="11"/>
      <c r="F243" s="11">
        <v>1</v>
      </c>
      <c r="G243" s="14"/>
      <c r="H243" s="12"/>
      <c r="I243" s="12"/>
      <c r="J243" s="14"/>
      <c r="K243" s="18"/>
      <c r="L243" s="14"/>
      <c r="M243" s="14"/>
      <c r="N243" s="14"/>
      <c r="O243" s="14">
        <f t="shared" si="5"/>
        <v>44022</v>
      </c>
      <c r="P243" s="37"/>
      <c r="Q243" s="23"/>
    </row>
    <row r="244" spans="1:17" x14ac:dyDescent="0.7">
      <c r="A244" s="11">
        <v>240</v>
      </c>
      <c r="B244" s="12">
        <v>44051</v>
      </c>
      <c r="C244" s="13" t="s">
        <v>360</v>
      </c>
      <c r="D244" s="13"/>
      <c r="E244" s="11" t="s">
        <v>361</v>
      </c>
      <c r="F244" s="11">
        <v>14</v>
      </c>
      <c r="G244" s="14"/>
      <c r="H244" s="12"/>
      <c r="I244" s="12"/>
      <c r="J244" s="14"/>
      <c r="K244" s="18"/>
      <c r="L244" s="14"/>
      <c r="M244" s="14"/>
      <c r="N244" s="14"/>
      <c r="O244" s="14">
        <f t="shared" si="5"/>
        <v>44416</v>
      </c>
      <c r="P244" s="37"/>
    </row>
    <row r="245" spans="1:17" x14ac:dyDescent="0.7">
      <c r="A245" s="11">
        <v>241</v>
      </c>
      <c r="B245" s="12">
        <v>44052</v>
      </c>
      <c r="C245" s="13" t="s">
        <v>362</v>
      </c>
      <c r="D245" s="13"/>
      <c r="E245" s="11" t="s">
        <v>363</v>
      </c>
      <c r="F245" s="11">
        <v>17</v>
      </c>
      <c r="G245" s="14"/>
      <c r="H245" s="12"/>
      <c r="I245" s="12"/>
      <c r="J245" s="14"/>
      <c r="K245" s="18"/>
      <c r="L245" s="14"/>
      <c r="M245" s="14"/>
      <c r="N245" s="14"/>
      <c r="O245" s="14">
        <f t="shared" si="5"/>
        <v>44417</v>
      </c>
      <c r="P245" s="37"/>
    </row>
    <row r="246" spans="1:17" x14ac:dyDescent="0.7">
      <c r="A246" s="11">
        <v>242</v>
      </c>
      <c r="B246" s="12">
        <v>44082</v>
      </c>
      <c r="C246" s="13" t="s">
        <v>308</v>
      </c>
      <c r="D246" s="13"/>
      <c r="E246" s="13" t="s">
        <v>721</v>
      </c>
      <c r="F246" s="11">
        <v>1</v>
      </c>
      <c r="G246" s="14"/>
      <c r="H246" s="12"/>
      <c r="I246" s="12"/>
      <c r="J246" s="14"/>
      <c r="K246" s="18"/>
      <c r="L246" s="14"/>
      <c r="M246" s="14"/>
      <c r="N246" s="14"/>
      <c r="O246" s="14">
        <f t="shared" si="5"/>
        <v>44447</v>
      </c>
      <c r="P246" s="37"/>
    </row>
    <row r="247" spans="1:17" x14ac:dyDescent="0.7">
      <c r="A247" s="11">
        <v>243</v>
      </c>
      <c r="B247" s="12">
        <v>44106</v>
      </c>
      <c r="C247" s="13" t="s">
        <v>317</v>
      </c>
      <c r="D247" s="13"/>
      <c r="E247" s="11" t="s">
        <v>318</v>
      </c>
      <c r="F247" s="11">
        <v>1</v>
      </c>
      <c r="G247" s="14"/>
      <c r="H247" s="12"/>
      <c r="I247" s="12"/>
      <c r="J247" s="14"/>
      <c r="K247" s="18"/>
      <c r="L247" s="14">
        <v>44106</v>
      </c>
      <c r="M247" s="14">
        <v>44106</v>
      </c>
      <c r="N247" s="14"/>
      <c r="O247" s="14">
        <f>+B247+365+365</f>
        <v>44836</v>
      </c>
      <c r="P247" s="37"/>
    </row>
    <row r="248" spans="1:17" x14ac:dyDescent="0.7">
      <c r="A248" s="11">
        <v>244</v>
      </c>
      <c r="B248" s="12">
        <v>44134</v>
      </c>
      <c r="C248" s="13" t="s">
        <v>319</v>
      </c>
      <c r="D248" s="13"/>
      <c r="E248" s="11" t="s">
        <v>320</v>
      </c>
      <c r="F248" s="11">
        <v>1</v>
      </c>
      <c r="G248" s="14"/>
      <c r="H248" s="12"/>
      <c r="I248" s="12"/>
      <c r="J248" s="14"/>
      <c r="K248" s="18"/>
      <c r="L248" s="14"/>
      <c r="M248" s="14"/>
      <c r="N248" s="14"/>
      <c r="O248" s="14">
        <f>+B248+365</f>
        <v>44499</v>
      </c>
      <c r="P248" s="37"/>
    </row>
    <row r="249" spans="1:17" x14ac:dyDescent="0.7">
      <c r="A249" s="11">
        <v>245</v>
      </c>
      <c r="B249" s="12">
        <v>44144</v>
      </c>
      <c r="C249" s="13" t="s">
        <v>364</v>
      </c>
      <c r="D249" s="13"/>
      <c r="E249" s="11" t="s">
        <v>365</v>
      </c>
      <c r="F249" s="11">
        <v>6</v>
      </c>
      <c r="G249" s="14"/>
      <c r="H249" s="12"/>
      <c r="I249" s="12"/>
      <c r="J249" s="14"/>
      <c r="K249" s="18"/>
      <c r="L249" s="14"/>
      <c r="M249" s="14"/>
      <c r="N249" s="14"/>
      <c r="O249" s="14">
        <f>+B249+365</f>
        <v>44509</v>
      </c>
      <c r="P249" s="37"/>
    </row>
    <row r="250" spans="1:17" x14ac:dyDescent="0.7">
      <c r="A250" s="27">
        <v>246</v>
      </c>
      <c r="B250" s="28">
        <v>44174</v>
      </c>
      <c r="C250" s="29" t="s">
        <v>371</v>
      </c>
      <c r="D250" s="29"/>
      <c r="E250" s="27" t="s">
        <v>373</v>
      </c>
      <c r="F250" s="27">
        <v>14</v>
      </c>
      <c r="G250" s="30"/>
      <c r="H250" s="28"/>
      <c r="I250" s="28"/>
      <c r="J250" s="30"/>
      <c r="K250" s="39"/>
      <c r="L250" s="30"/>
      <c r="M250" s="30"/>
      <c r="N250" s="30"/>
      <c r="O250" s="30">
        <f>+B250+365</f>
        <v>44539</v>
      </c>
      <c r="P250" s="37"/>
    </row>
    <row r="251" spans="1:17" x14ac:dyDescent="0.7">
      <c r="A251" s="31">
        <v>247</v>
      </c>
      <c r="B251" s="32">
        <v>242589</v>
      </c>
      <c r="C251" s="33" t="s">
        <v>103</v>
      </c>
      <c r="D251" s="34"/>
      <c r="E251" s="31" t="s">
        <v>105</v>
      </c>
      <c r="F251" s="35">
        <v>13</v>
      </c>
      <c r="G251" s="35"/>
      <c r="H251" s="35"/>
      <c r="I251" s="35"/>
      <c r="J251" s="35"/>
      <c r="K251" s="35"/>
      <c r="L251" s="35"/>
      <c r="M251" s="35"/>
      <c r="N251" s="35"/>
      <c r="O251" s="35"/>
    </row>
    <row r="252" spans="1:17" x14ac:dyDescent="0.7">
      <c r="A252" s="35">
        <v>248</v>
      </c>
      <c r="B252" s="32">
        <v>242593</v>
      </c>
      <c r="C252" s="33" t="s">
        <v>107</v>
      </c>
      <c r="D252" s="34"/>
      <c r="E252" s="31" t="s">
        <v>722</v>
      </c>
      <c r="F252" s="35">
        <v>1</v>
      </c>
      <c r="G252" s="35"/>
      <c r="H252" s="35"/>
      <c r="I252" s="35"/>
      <c r="J252" s="35"/>
      <c r="K252" s="35"/>
      <c r="L252" s="35"/>
      <c r="M252" s="35"/>
      <c r="N252" s="35"/>
      <c r="O252" s="35"/>
    </row>
    <row r="253" spans="1:17" x14ac:dyDescent="0.7">
      <c r="A253" s="36">
        <v>249</v>
      </c>
    </row>
  </sheetData>
  <autoFilter ref="A4:R253" xr:uid="{00000000-0009-0000-0000-000019000000}"/>
  <pageMargins left="0.62992125984252001" right="0.23622047244094499" top="0.74803149606299202" bottom="0.74803149606299202" header="0.31496062992126" footer="0.31496062992126"/>
  <pageSetup paperSize="9" scale="80" fitToHeight="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แจ้งหมดอายุ (12)</vt:lpstr>
      <vt:lpstr>แจ้งหมดอายุ (1)</vt:lpstr>
      <vt:lpstr>แจ้งหมดอายุ (2)</vt:lpstr>
      <vt:lpstr>แจ้งหมดอายุ (3)</vt:lpstr>
      <vt:lpstr>แจ้งหมดอายุ (4)</vt:lpstr>
      <vt:lpstr>แจ้งหมดอายุ (5)</vt:lpstr>
      <vt:lpstr>แจ้งหมดอายุ (6)</vt:lpstr>
      <vt:lpstr>แจ้งหมดอายุ (7)</vt:lpstr>
      <vt:lpstr>สวัสดิการ</vt:lpstr>
      <vt:lpstr>ฐานรายชื่ออาจารย์</vt:lpstr>
      <vt:lpstr>USER</vt:lpstr>
      <vt:lpstr>ทะเบียนสมาชิก</vt:lpstr>
      <vt:lpstr>ทะเบียนสมาชิก!Print_Area</vt:lpstr>
      <vt:lpstr>ฐานรายชื่ออาจารย์!Print_Titles</vt:lpstr>
    </vt:vector>
  </TitlesOfParts>
  <Company>zzzz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Thinkpad</cp:lastModifiedBy>
  <cp:lastPrinted>2026-06-20T08:02:45Z</cp:lastPrinted>
  <dcterms:created xsi:type="dcterms:W3CDTF">2014-12-12T07:28:00Z</dcterms:created>
  <dcterms:modified xsi:type="dcterms:W3CDTF">2026-06-23T05:48:45Z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25C175665A0F4EDDBC3AD4CBBAA459E7</vt:lpwstr>
  </property>
  <property fmtid="{D5CDD505-2E9C-101B-9397-08002B2CF9AE}" pid="3" name="KSOProductBuildVer">
    <vt:lpwstr>1054-11.2.0.11254</vt:lpwstr>
  </property>
</Properties>
</file>